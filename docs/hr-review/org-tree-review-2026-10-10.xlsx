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.Hawa\Desktop\work\alraqi-erp-system\docs\hr-review\"/>
    </mc:Choice>
  </mc:AlternateContent>
  <bookViews>
    <workbookView xWindow="0" yWindow="0" windowWidth="17256" windowHeight="9384"/>
  </bookViews>
  <sheets>
    <sheet name="اقرأ أولاً" sheetId="1" r:id="rId1"/>
    <sheet name="الهيكل في النظام" sheetId="2" r:id="rId2"/>
    <sheet name="وحدات غير موجودة" sheetId="3" r:id="rId3"/>
    <sheet name="ما لا يدخل الهيكل" sheetId="4" r:id="rId4"/>
    <sheet name="أسئلة للموارد البشرية" sheetId="5" r:id="rId5"/>
  </sheets>
  <definedNames>
    <definedName name="_xlnm._FilterDatabase" localSheetId="1" hidden="1">'الهيكل في النظام'!$A$1:$J$120</definedName>
  </definedNames>
  <calcPr calcId="162913"/>
</workbook>
</file>

<file path=xl/calcChain.xml><?xml version="1.0" encoding="utf-8"?>
<calcChain xmlns="http://schemas.openxmlformats.org/spreadsheetml/2006/main">
  <c r="E20" i="4" l="1"/>
  <c r="D20" i="4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<sst xmlns="http://schemas.openxmlformats.org/spreadsheetml/2006/main" count="869" uniqueCount="356">
  <si>
    <t>مراجعة الهيكل التنظيمي قبل استيراد الموظفين</t>
  </si>
  <si>
    <t>الغرض</t>
  </si>
  <si>
    <t>سيُستورد كل موظف إلى النظام الجديد على وحدة (إدارة / قسم / مكتب) من الهيكل المعتمد فيه. يعرض هذا الملف ذلك الهيكل، والتسميات الموجودة في ملفات الموارد البشرية ولا يعرفها النظام، لنتفق عليها قبل الاستيراد.</t>
  </si>
  <si>
    <t>المصادر</t>
  </si>
  <si>
    <t>الهيكل: المعتمد في النظام منذ 2026-08-05 (دليل الهيكل في Program_HR_2_2026 والمخطط التنظيمي). الموظفون: Program_HR_10_2026.xlsx (2026-10-05) وملف الإنتاجية Program_HR_9_2026-انتاجية.xlsx (2026-09-13).</t>
  </si>
  <si>
    <t>المطلوب</t>
  </si>
  <si>
    <t>تعبئة الخلايا الصفراء فقط، في ثلاث أوراق: «الهيكل في النظام» و«وحدات غير موجودة» و«أسئلة للموارد البشرية». ورقة «ما لا يدخل الهيكل» للاطلاع: المطلوب تأكيد القاعدة، لا كل سطر.</t>
  </si>
  <si>
    <t>مثال على التعبئة</t>
  </si>
  <si>
    <t>في «الهيكل في النظام»: القرار «يُعدَّل الاسم» والملاحظة «الاسم الصحيح: قسم المشتريات والمبيعات». في «وحدات غير موجودة»: القرار «غير موافق» والملاحظة «قسم جديد، مديره فلان».</t>
  </si>
  <si>
    <t>خصوصية</t>
  </si>
  <si>
    <t>لا توجد في الملف أسماء موظفين، الأعداد فقط. لن يُستورد أي موظف قبل انتهاء هذه المراجعة.</t>
  </si>
  <si>
    <t>ملخص</t>
  </si>
  <si>
    <t>وحدات الهيكل في النظام</t>
  </si>
  <si>
    <t xml:space="preserve">  راجعتها الموارد البشرية</t>
  </si>
  <si>
    <t xml:space="preserve">  عليها موظفون فعّالون</t>
  </si>
  <si>
    <t>تسميات غير موجودة في الهيكل</t>
  </si>
  <si>
    <t xml:space="preserve">  أُجيب عنها</t>
  </si>
  <si>
    <t xml:space="preserve">  موظفون فعّالون عليها</t>
  </si>
  <si>
    <t>موظفون فعّالون على تسميات لا تدخل الهيكل</t>
  </si>
  <si>
    <t>أسئلة</t>
  </si>
  <si>
    <t>دليل الألوان</t>
  </si>
  <si>
    <t>أصفر = للتعبئة من الموارد البشرية · أزرق فاتح = إدارة · رمادي فاتح = قسم · أبيض = مكتب</t>
  </si>
  <si>
    <t>أُعدّ في</t>
  </si>
  <si>
    <t>2026-10-10، القسم التقني</t>
  </si>
  <si>
    <t>المستوى</t>
  </si>
  <si>
    <t>الإدارة</t>
  </si>
  <si>
    <t>القسم</t>
  </si>
  <si>
    <t>المكتب</t>
  </si>
  <si>
    <t>الرمز</t>
  </si>
  <si>
    <t>الحالة في النظام</t>
  </si>
  <si>
    <t>موظفون فعّالون عليها</t>
  </si>
  <si>
    <t>وظائف عليها في دليل الهيكل</t>
  </si>
  <si>
    <t>قرار الموارد البشرية</t>
  </si>
  <si>
    <t>التصحيح / ملاحظات</t>
  </si>
  <si>
    <t>الجذر</t>
  </si>
  <si>
    <t>الإدارة العامة</t>
  </si>
  <si>
    <t>GA</t>
  </si>
  <si>
    <t>فعّال</t>
  </si>
  <si>
    <t>إدارة</t>
  </si>
  <si>
    <t>مجلس الإدارة</t>
  </si>
  <si>
    <t>BOD</t>
  </si>
  <si>
    <t>مكتب المدير العام</t>
  </si>
  <si>
    <t>GM</t>
  </si>
  <si>
    <t>الإدارة المالية</t>
  </si>
  <si>
    <t>FIN</t>
  </si>
  <si>
    <t>قسم</t>
  </si>
  <si>
    <t>قسم النقدية</t>
  </si>
  <si>
    <t>FIN-CASH</t>
  </si>
  <si>
    <t>مكتب</t>
  </si>
  <si>
    <t>أمانة الصندوق</t>
  </si>
  <si>
    <t>FIN-CASH-VAULT</t>
  </si>
  <si>
    <t>الحسابات المصرفية</t>
  </si>
  <si>
    <t>FIN-CASH-BANK</t>
  </si>
  <si>
    <t>قسم الحسابات العامة</t>
  </si>
  <si>
    <t>FIN-GL</t>
  </si>
  <si>
    <t>الحسابات العام</t>
  </si>
  <si>
    <t>FIN-GL-ACC</t>
  </si>
  <si>
    <t>قسم الموازنات</t>
  </si>
  <si>
    <t>FIN-BUD</t>
  </si>
  <si>
    <t>قسم الأصول الثابتة</t>
  </si>
  <si>
    <t>FIN-FA</t>
  </si>
  <si>
    <t>المراقبة والتقييم والجرد</t>
  </si>
  <si>
    <t>FIN-FA-MON</t>
  </si>
  <si>
    <t>حسابات الأصول</t>
  </si>
  <si>
    <t>FIN-FA-ACC</t>
  </si>
  <si>
    <t>قسم الرقابة المالية والتدقيق</t>
  </si>
  <si>
    <t>FIN-AUD</t>
  </si>
  <si>
    <t>الرقابة المالية</t>
  </si>
  <si>
    <t>FIN-AUD-CTRL</t>
  </si>
  <si>
    <t>التدقيق المالي</t>
  </si>
  <si>
    <t>FIN-AUD-AUD</t>
  </si>
  <si>
    <t>إدارة الموارد البشرية</t>
  </si>
  <si>
    <t>HR</t>
  </si>
  <si>
    <t>قسم التحليل والتوصيف</t>
  </si>
  <si>
    <t>HR-JA</t>
  </si>
  <si>
    <t>قسم التخطيط</t>
  </si>
  <si>
    <t>HR-PLAN</t>
  </si>
  <si>
    <t>قسم الاستقطاب والتوظيف</t>
  </si>
  <si>
    <t>HR-REC</t>
  </si>
  <si>
    <t>قسم التدريب والتطوير</t>
  </si>
  <si>
    <t>HR-TRN</t>
  </si>
  <si>
    <t>قسم تقييم الأداء</t>
  </si>
  <si>
    <t>HR-PERF</t>
  </si>
  <si>
    <t>قسم إدارة البيانات</t>
  </si>
  <si>
    <t>HR-DATA</t>
  </si>
  <si>
    <t>إدارة الشؤون الإدارية</t>
  </si>
  <si>
    <t>ADM</t>
  </si>
  <si>
    <t>قسم المركبات</t>
  </si>
  <si>
    <t>ADM-VEH</t>
  </si>
  <si>
    <t>المحروقات</t>
  </si>
  <si>
    <t>ADM-VEH-FUEL</t>
  </si>
  <si>
    <t>صيانة الآليات</t>
  </si>
  <si>
    <t>ADM-VEH-MNT</t>
  </si>
  <si>
    <t>قسم الخدمات</t>
  </si>
  <si>
    <t>ADM-SRV</t>
  </si>
  <si>
    <t>الاستعلامات</t>
  </si>
  <si>
    <t>ADM-SRV-INFO</t>
  </si>
  <si>
    <t>البوفيه</t>
  </si>
  <si>
    <t>ADM-SRV-CAF</t>
  </si>
  <si>
    <t>قسم الدعم التقني</t>
  </si>
  <si>
    <t>ADM-IT</t>
  </si>
  <si>
    <t>إدارة العلاقات العامة</t>
  </si>
  <si>
    <t>PR</t>
  </si>
  <si>
    <t>قسم العلاقات المحلية</t>
  </si>
  <si>
    <t>PR-LOC</t>
  </si>
  <si>
    <t>مكتب المناقصات</t>
  </si>
  <si>
    <t>PR-LOC-TEND</t>
  </si>
  <si>
    <t>مكتب خدمة الزبائن</t>
  </si>
  <si>
    <t>PR-LOC-CS</t>
  </si>
  <si>
    <t>قسم العلاقات الخارجية</t>
  </si>
  <si>
    <t>PR-EXT</t>
  </si>
  <si>
    <t>الترجمة</t>
  </si>
  <si>
    <t>PR-EXT-TRN</t>
  </si>
  <si>
    <t>إدارة التسويق وتقنية المعلومات</t>
  </si>
  <si>
    <t>MKT</t>
  </si>
  <si>
    <t>قسم التسويق الرقمي</t>
  </si>
  <si>
    <t>MKT-DIG</t>
  </si>
  <si>
    <t>القسم الإعلامي</t>
  </si>
  <si>
    <t>MKT-MED</t>
  </si>
  <si>
    <t>قسم تقنية المعلومات</t>
  </si>
  <si>
    <t>MKT-IT</t>
  </si>
  <si>
    <t>إدارة الأمن والحماية</t>
  </si>
  <si>
    <t>SEC</t>
  </si>
  <si>
    <t>قسم الحماية</t>
  </si>
  <si>
    <t>SEC-PROT</t>
  </si>
  <si>
    <t>الكاميرات</t>
  </si>
  <si>
    <t>SEC-PROT-CAM</t>
  </si>
  <si>
    <t>الحراسة</t>
  </si>
  <si>
    <t>SEC-PROT-GRD</t>
  </si>
  <si>
    <t>إدارة الديوان والأرشيف</t>
  </si>
  <si>
    <t>ARC</t>
  </si>
  <si>
    <t>قسم البريد</t>
  </si>
  <si>
    <t>ARC-MAIL</t>
  </si>
  <si>
    <t>قسم الأرشيف العام</t>
  </si>
  <si>
    <t>ARC-GEN</t>
  </si>
  <si>
    <t>إدارة الشؤون القانونية</t>
  </si>
  <si>
    <t>LEG</t>
  </si>
  <si>
    <t>قسم العقود والاتفاقيات</t>
  </si>
  <si>
    <t>LEG-CON</t>
  </si>
  <si>
    <t>قسم المعاملات القانونية</t>
  </si>
  <si>
    <t>LEG-CASE</t>
  </si>
  <si>
    <t>الإدارة الهندسية</t>
  </si>
  <si>
    <t>ENG</t>
  </si>
  <si>
    <t>قسم الرقابة الهندسية</t>
  </si>
  <si>
    <t>ENG-SUP</t>
  </si>
  <si>
    <t>قسم التخطيط والدراسات</t>
  </si>
  <si>
    <t>ENG-PLAN</t>
  </si>
  <si>
    <t>الطبوغرافيا</t>
  </si>
  <si>
    <t>ENG-PLAN-TOPO</t>
  </si>
  <si>
    <t>المعماري</t>
  </si>
  <si>
    <t>ENG-PLAN-ARCH</t>
  </si>
  <si>
    <t>الإنشائي</t>
  </si>
  <si>
    <t>ENG-PLAN-STRU</t>
  </si>
  <si>
    <t>الميكانيك</t>
  </si>
  <si>
    <t>ENG-PLAN-MECH</t>
  </si>
  <si>
    <t>الكهرباء</t>
  </si>
  <si>
    <t>ENG-PLAN-ELEC</t>
  </si>
  <si>
    <t>القسم الإداري الهندسي</t>
  </si>
  <si>
    <t>ENG-ADM</t>
  </si>
  <si>
    <t>مكتب الديوان والأرشيف</t>
  </si>
  <si>
    <t>ENG-ADM-ARC</t>
  </si>
  <si>
    <t>القسم المالي الهندسي</t>
  </si>
  <si>
    <t>ENG-FIN</t>
  </si>
  <si>
    <t>الحسابات</t>
  </si>
  <si>
    <t>ENG-FIN-ACC</t>
  </si>
  <si>
    <t>ENG-FIN-VAULT</t>
  </si>
  <si>
    <t>إدخال البيانات</t>
  </si>
  <si>
    <t>ENG-FIN-DATA</t>
  </si>
  <si>
    <t>القسم التنفيذي الهندسي</t>
  </si>
  <si>
    <t>ENG-EXEC</t>
  </si>
  <si>
    <t>المكتب الفني</t>
  </si>
  <si>
    <t>ENG-EXEC-TECH</t>
  </si>
  <si>
    <t>مكتب الورشات الفنية</t>
  </si>
  <si>
    <t>ENG-EXEC-WS</t>
  </si>
  <si>
    <t>إدارة المشاريع الإنتاجية</t>
  </si>
  <si>
    <t>PRD</t>
  </si>
  <si>
    <t>قسم الأبحاث والدراسات</t>
  </si>
  <si>
    <t>PRD-RES</t>
  </si>
  <si>
    <t>قسم مجبل الإسفلت</t>
  </si>
  <si>
    <t>PRD-ASPH</t>
  </si>
  <si>
    <t>قسم مجبل البيتون</t>
  </si>
  <si>
    <t>PRD-CONC</t>
  </si>
  <si>
    <t>قسم ورش البيتون</t>
  </si>
  <si>
    <t>PRD-CWS</t>
  </si>
  <si>
    <t>قسم معمل الأنترلوك</t>
  </si>
  <si>
    <t>PRD-INTL</t>
  </si>
  <si>
    <t>قسم معمل البلوك</t>
  </si>
  <si>
    <t>PRD-BLK</t>
  </si>
  <si>
    <t>قسم مقلع السلامة</t>
  </si>
  <si>
    <t>PRD-QSAL</t>
  </si>
  <si>
    <t>قسم مقلع الإسكان</t>
  </si>
  <si>
    <t>PRD-QISK</t>
  </si>
  <si>
    <t>قسم الكسارة الراوترية</t>
  </si>
  <si>
    <t>PRD-CRSH</t>
  </si>
  <si>
    <t>قسم مخرطة الحجر</t>
  </si>
  <si>
    <t>PRD-LATH</t>
  </si>
  <si>
    <t>قسم منشرة الحجر</t>
  </si>
  <si>
    <t>PRD-SAW</t>
  </si>
  <si>
    <t>قسم الصيانة</t>
  </si>
  <si>
    <t>PRD-MNT</t>
  </si>
  <si>
    <t>ميكانيك</t>
  </si>
  <si>
    <t>PRD-MNT-MECH</t>
  </si>
  <si>
    <t>كهرباء</t>
  </si>
  <si>
    <t>PRD-MNT-ELEC</t>
  </si>
  <si>
    <t>حدادة</t>
  </si>
  <si>
    <t>PRD-MNT-SMTH</t>
  </si>
  <si>
    <t>القسم المالي الإنتاجي</t>
  </si>
  <si>
    <t>PRD-FIN</t>
  </si>
  <si>
    <t>PRD-FIN-ACC</t>
  </si>
  <si>
    <t>PRD-FIN-VAULT</t>
  </si>
  <si>
    <t>القسم الإداري الإنتاجي</t>
  </si>
  <si>
    <t>PRD-ADM</t>
  </si>
  <si>
    <t>قسم تسويق الإنتاج</t>
  </si>
  <si>
    <t>PRD-MKT</t>
  </si>
  <si>
    <t>إدارة الآليات الثقيلة</t>
  </si>
  <si>
    <t>HEQ</t>
  </si>
  <si>
    <t>قسم الإشراف الفني</t>
  </si>
  <si>
    <t>HEQ-SUP</t>
  </si>
  <si>
    <t>قسم الصيانة (رحبة الصيانة)</t>
  </si>
  <si>
    <t>HEQ-MNT</t>
  </si>
  <si>
    <t>ميكانيك الثقيل</t>
  </si>
  <si>
    <t>HEQ-MNT-MECH</t>
  </si>
  <si>
    <t>كهرباء الثقيل</t>
  </si>
  <si>
    <t>HEQ-MNT-ELEC</t>
  </si>
  <si>
    <t>كومجي الثقيل</t>
  </si>
  <si>
    <t>HEQ-MNT-BODY</t>
  </si>
  <si>
    <t>حدادة الثقيل</t>
  </si>
  <si>
    <t>HEQ-MNT-SMTH</t>
  </si>
  <si>
    <t>مغسلة الثقيل</t>
  </si>
  <si>
    <t>HEQ-MNT-WASH</t>
  </si>
  <si>
    <t>صيانة هدروليك الثقيل</t>
  </si>
  <si>
    <t>HEQ-MNT-HYD</t>
  </si>
  <si>
    <t>مكبس هدروليك الثقيل</t>
  </si>
  <si>
    <t>HEQ-MNT-PRESS</t>
  </si>
  <si>
    <t>طورنو الثقيل</t>
  </si>
  <si>
    <t>HEQ-MNT-LATH</t>
  </si>
  <si>
    <t>القسم المالي والإداري للآليات الثقيلة</t>
  </si>
  <si>
    <t>HEQ-FIN</t>
  </si>
  <si>
    <t>HEQ-FIN-ACC</t>
  </si>
  <si>
    <t>HEQ-FIN-VAULT</t>
  </si>
  <si>
    <t>قسم السائقين</t>
  </si>
  <si>
    <t>HEQ-DRV</t>
  </si>
  <si>
    <t>إدارة الإمداد والتوريد</t>
  </si>
  <si>
    <t>SUP</t>
  </si>
  <si>
    <t>قسم المشتريات</t>
  </si>
  <si>
    <t>SUP-PUR</t>
  </si>
  <si>
    <t>مشتريات المشاريع</t>
  </si>
  <si>
    <t>SUP-PUR-PROJ</t>
  </si>
  <si>
    <t>المشتريات الفرعية</t>
  </si>
  <si>
    <t>SUP-PUR-SUB</t>
  </si>
  <si>
    <t>المبيعات</t>
  </si>
  <si>
    <t>SUP-PUR-SALE</t>
  </si>
  <si>
    <t>معلّق (غير فعّال)</t>
  </si>
  <si>
    <t>قسم اللوجستيك والمستودعات</t>
  </si>
  <si>
    <t>SUP-LOG</t>
  </si>
  <si>
    <t>المستودع المركزي</t>
  </si>
  <si>
    <t>SUP-LOG-CENT</t>
  </si>
  <si>
    <t>المستودعات الفرعية</t>
  </si>
  <si>
    <t>SUP-LOG-SUB</t>
  </si>
  <si>
    <t>اللوجستي</t>
  </si>
  <si>
    <t>SUP-LOG-LOG</t>
  </si>
  <si>
    <t>إدارة التسويق العقاري</t>
  </si>
  <si>
    <t>REM</t>
  </si>
  <si>
    <t>قسم الترويج والإعلان</t>
  </si>
  <si>
    <t>REM-PROM</t>
  </si>
  <si>
    <t>REM-PROM-CS</t>
  </si>
  <si>
    <t>مكتب الدعاية والإعلان</t>
  </si>
  <si>
    <t>REM-PROM-ADV</t>
  </si>
  <si>
    <t>القسم المالي للتسويق العقاري</t>
  </si>
  <si>
    <t>REM-FIN</t>
  </si>
  <si>
    <t>قسم الشؤون القانونية</t>
  </si>
  <si>
    <t>REM-LEG</t>
  </si>
  <si>
    <t>#</t>
  </si>
  <si>
    <t>المصدر</t>
  </si>
  <si>
    <t>موظفون فعّالون</t>
  </si>
  <si>
    <t>منتهية خدمتهم</t>
  </si>
  <si>
    <t>وظائف في دليل الهيكل</t>
  </si>
  <si>
    <t>ما نقترحه</t>
  </si>
  <si>
    <t>ملاحظات</t>
  </si>
  <si>
    <t>اسم إدارة</t>
  </si>
  <si>
    <t>إدارة التسويق والIT</t>
  </si>
  <si>
    <t>اسمها في الملف «إدارة التسويق والIT» وفي النظام «إدارة التسويق وتقنية المعلومات». نعتبرهما الإدارة نفسها (MKT). يرجى التأكيد.</t>
  </si>
  <si>
    <t>الموظفون + دليل الهيكل</t>
  </si>
  <si>
    <t>قسم المحاسبة</t>
  </si>
  <si>
    <t>قسم غير موجود تحت هذه الإدارة: هل هو قسم جديد يُضاف، أم اسم آخر لقسم موجود (يرجى ذكره)؟</t>
  </si>
  <si>
    <t>قسم المشتريات والمبيعات</t>
  </si>
  <si>
    <t>في النظام اسمه «قسم المشتريات»، ومكتب «المبيعات» فيه معلّق. نقترح تعديل اسم القسم إلى «قسم المشتريات والمبيعات». وهل يُفعَّل مكتب المبيعات؟</t>
  </si>
  <si>
    <t>القسم التقني</t>
  </si>
  <si>
    <t>التقني</t>
  </si>
  <si>
    <t>نقترح أنه «قسم تقنية المعلومات» (MKT-IT) نفسه. يرجى التأكيد.</t>
  </si>
  <si>
    <t>إدارة الجودة والسلامة والمهنية</t>
  </si>
  <si>
    <t>إدارة غير موجودة في الهيكل المعتمد: هل تُضاف؟ ومن مديرها؟ وتحت أي جهة (المكاتب الإدارية أم الأجسام الإدارية)؟</t>
  </si>
  <si>
    <t>مكتب العقود والمعاملات</t>
  </si>
  <si>
    <t>مكتب غير موجود تحت هذا القسم: هل يُضاف، أم يُسجَّل الموظف على القسم نفسه؟</t>
  </si>
  <si>
    <t>إنهاء عمل + دليل الهيكل</t>
  </si>
  <si>
    <t>دليل الهيكل</t>
  </si>
  <si>
    <t>قسم الجودة</t>
  </si>
  <si>
    <t>مكتب مراقبة الجودة</t>
  </si>
  <si>
    <t>قسم السلامة المهنية</t>
  </si>
  <si>
    <t>إنهاء عمل</t>
  </si>
  <si>
    <t>القسم المالي للآليات الثقيلة</t>
  </si>
  <si>
    <t>تسمية قديمة. نقترح «القسم المالي والإداري للآليات الثقيلة» (HEQ-FIN).</t>
  </si>
  <si>
    <t>الحراسة في النظام تتبع إدارة الأمن والحماية (SEC-PROT-GRD). هل كانوا حراساً مفرزين للمشاريع الإنتاجية؟ نقترح ربطهم بـ SEC-PROT-GRD.</t>
  </si>
  <si>
    <t>قسم المستودعات</t>
  </si>
  <si>
    <t>تسمية قديمة. نقترح ربطه بـ«قسم اللوجستيك والمستودعات» في إدارة الإمداد والتوريد (SUP-LOG).</t>
  </si>
  <si>
    <t>التنفيذي</t>
  </si>
  <si>
    <t>ربما خطأ إدخال: «التنفيذي» ليس مكتباً في قسم التخطيط والدراسات. نقترح «القسم التنفيذي الهندسي» (ENG-EXEC).</t>
  </si>
  <si>
    <t>القاعدة</t>
  </si>
  <si>
    <t>التسمية في الملف</t>
  </si>
  <si>
    <t>أين يُسجَّل الموظف</t>
  </si>
  <si>
    <t>ماذا يحدث للتسمية</t>
  </si>
  <si>
    <t>تكرار لاسم القسم نفسه</t>
  </si>
  <si>
    <t>قسم الصيانة ( رحبة الصيانة )</t>
  </si>
  <si>
    <t>على القسم نفسه</t>
  </si>
  <si>
    <t>لا شيء: التسمية مطابقة للقسم الأب.</t>
  </si>
  <si>
    <t>نوع آلية وليس مكتباً</t>
  </si>
  <si>
    <t>باكر</t>
  </si>
  <si>
    <t>على «قسم السائقين» نفسه</t>
  </si>
  <si>
    <t>تُحفظ في ملف الاستيراد، وتصبح لاحقاً نوع الآلية التي يقودها السائق (ضمن إدارة الأصول). لا تضيع.</t>
  </si>
  <si>
    <t>سيارة قلاب</t>
  </si>
  <si>
    <t>تركس</t>
  </si>
  <si>
    <t>صهريج</t>
  </si>
  <si>
    <t>مدحلة</t>
  </si>
  <si>
    <t>كليدر</t>
  </si>
  <si>
    <t>نغل</t>
  </si>
  <si>
    <t>تركس جنزير</t>
  </si>
  <si>
    <t>بوك</t>
  </si>
  <si>
    <t>بلدوزر</t>
  </si>
  <si>
    <t>لودر</t>
  </si>
  <si>
    <t>قلاب مقطورة</t>
  </si>
  <si>
    <t>رافعة</t>
  </si>
  <si>
    <t>ورشة وليست مكتباً</t>
  </si>
  <si>
    <t>ورشة تشغيل مجبل الإسفلت</t>
  </si>
  <si>
    <t>تدخل في المسمى الوظيفي الآن، وتصبح فريق مشروع لاحقاً.</t>
  </si>
  <si>
    <t>ورشة المد</t>
  </si>
  <si>
    <t>ورشة التخطيط</t>
  </si>
  <si>
    <t>ورشة التشغيل</t>
  </si>
  <si>
    <t>المجموع</t>
  </si>
  <si>
    <t>السؤال</t>
  </si>
  <si>
    <t>ما وجدناه في الملفات</t>
  </si>
  <si>
    <t>جواب الموارد البشرية</t>
  </si>
  <si>
    <t>هل ما زالت «إدارة المشاريع الإنتاجية» جزءاً من الشركة في النظام الجديد؟</t>
  </si>
  <si>
    <t>منذ أيلول 2026 فُصل موظفو الإنتاجية في ملف مستقل (Program_HR_9_2026-انتاجية): 52 موظفاً فعّالاً، منهم 47 في الإنتاجية. وفي ورقة «إنهاء عمل» 52 موظفاً بحالة «نقل لصلد».</t>
  </si>
  <si>
    <t>نستورد ملف الإنتاجية مع الملف الرئيسي ما دامت الإدارة قائمة. إن كانت الإنتاجية قد نُقلت إلى جهة أخرى فيرجى إخبارنا لنستبعدها.</t>
  </si>
  <si>
    <t>ماذا تعني حالتا «نقل لصلد» و«نقل لاصل»؟</t>
  </si>
  <si>
    <t>في ورقة «إنهاء عمل» (تشرين الأول 2026): «إنهاء عمل» 148، «نقل لصلد» 52، «نقل لاصل» 15.</t>
  </si>
  <si>
    <t>نقترح استيرادهم جميعاً بحالة «منتهي الخدمة» مع حفظ سبب الخروج (إنهاء عمل / نقل). يرجى التأكيد.</t>
  </si>
  <si>
    <t>موظف بحالة «إجازة بدون راتب» موجود في ورقة «إنهاء عمل»: هل ما زال موظفاً؟</t>
  </si>
  <si>
    <t>عدد الحالات: 1.</t>
  </si>
  <si>
    <t>نقترح استيراده بحالة «موقوف» (موظف لكنه متوقف مؤقتاً)، لا «منتهي الخدمة».</t>
  </si>
  <si>
    <t>موظفون منتهية خدمتهم بلا إدارة</t>
  </si>
  <si>
    <t>76 موظفاً في ورقة «إنهاء عمل» بلا إدارة ولا قسم.</t>
  </si>
  <si>
    <t>إن أمكن تعبئة الإدارة والقسم فذلك أفضل. وإلا نقترح استيرادهم على «الإدارة العامة» مع ملاحظة، لأن النظام يشترط وحدة لكل موظف.</t>
  </si>
  <si>
    <t>هل الملفان التاليان هما آخر نسخة، وهل يشملان كل الموظفين الفعّالين؟</t>
  </si>
  <si>
    <t>الملف الرئيسي Program_HR_10_2026 (2026-10-05): 185 موظفاً. ملف الإنتاجية (2026-09-13): 52. المجموع 237. خطة الاستيراد كانت مبنية على 242 موظفاً (ملف شباط 2026).</t>
  </si>
  <si>
    <t>نعتمد آخر نسخة من الملفين عند الاستيراد. يرجى إخبارنا إن كان هناك ملف أحدث أو موظفون غير مذكورين فيهما.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</si>
</sst>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right" vertical="top" wrapText="1" readingOrder="2"/>
    </xf>
    <xf numFmtId="0" fontId="2" fillId="0" borderId="0" xfId="0" applyFont="1" applyAlignment="1">
      <alignment horizontal="right" vertical="top" wrapText="1" readingOrder="2"/>
    </xf>
    <xf numFmtId="0" fontId="3" fillId="0" borderId="0" xfId="0" applyFont="1" applyAlignment="1">
      <alignment horizontal="right" vertical="top" wrapText="1" readingOrder="2"/>
    </xf>
    <xf numFmtId="0" fontId="2" fillId="0" borderId="0" xfId="0" applyFont="1" applyAlignment="1">
      <alignment horizontal="right" readingOrder="2"/>
    </xf>
    <xf numFmtId="0" fontId="1" fillId="2" borderId="1" xfId="0" applyFont="1" applyFill="1" applyBorder="1" applyAlignment="1">
      <alignment horizontal="right" vertical="top" wrapText="1" readingOrder="2"/>
    </xf>
    <xf numFmtId="0" fontId="2" fillId="3" borderId="1" xfId="0" applyFont="1" applyFill="1" applyBorder="1" applyAlignment="1">
      <alignment horizontal="right" vertical="top" wrapText="1" readingOrder="2"/>
    </xf>
    <xf numFmtId="0" fontId="2" fillId="4" borderId="1" xfId="0" applyFont="1" applyFill="1" applyBorder="1" applyAlignment="1">
      <alignment horizontal="right" vertical="top" wrapText="1" readingOrder="2"/>
    </xf>
    <xf numFmtId="0" fontId="2" fillId="5" borderId="1" xfId="0" applyFont="1" applyFill="1" applyBorder="1" applyAlignment="1">
      <alignment horizontal="right" vertical="top" wrapText="1" readingOrder="2"/>
    </xf>
    <xf numFmtId="0" fontId="3" fillId="5" borderId="1" xfId="0" applyFont="1" applyFill="1" applyBorder="1" applyAlignment="1">
      <alignment horizontal="right" vertical="top" wrapText="1" readingOrder="2"/>
    </xf>
    <xf numFmtId="0" fontId="2" fillId="6" borderId="1" xfId="0" applyFont="1" applyFill="1" applyBorder="1" applyAlignment="1">
      <alignment horizontal="right" vertical="top" wrapText="1" readingOrder="2"/>
    </xf>
    <xf numFmtId="0" fontId="2" fillId="0" borderId="1" xfId="0" applyFont="1" applyBorder="1" applyAlignment="1">
      <alignment horizontal="right" vertical="top" wrapText="1" readingOrder="2"/>
    </xf>
    <xf numFmtId="0" fontId="3" fillId="0" borderId="1" xfId="0" applyFont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rightToLeft="1" tabSelected="1" workbookViewId="0"/>
  </sheetViews>
  <sheetFormatPr defaultRowHeight="14.4" x14ac:dyDescent="0.3"/>
  <cols>
    <col min="1" max="1" width="38" customWidth="1"/>
    <col min="2" max="2" width="95" customWidth="1"/>
  </cols>
  <sheetData>
    <row r="1" spans="1:2" ht="34.799999999999997" x14ac:dyDescent="0.3">
      <c r="A1" s="1" t="s">
        <v>0</v>
      </c>
      <c r="B1" s="2"/>
    </row>
    <row r="2" spans="1:2" x14ac:dyDescent="0.3">
      <c r="A2" s="3"/>
      <c r="B2" s="2"/>
    </row>
    <row r="3" spans="1:2" ht="27.6" x14ac:dyDescent="0.3">
      <c r="A3" s="3" t="s">
        <v>1</v>
      </c>
      <c r="B3" s="2" t="s">
        <v>2</v>
      </c>
    </row>
    <row r="4" spans="1:2" ht="27.6" x14ac:dyDescent="0.3">
      <c r="A4" s="3" t="s">
        <v>3</v>
      </c>
      <c r="B4" s="2" t="s">
        <v>4</v>
      </c>
    </row>
    <row r="5" spans="1:2" ht="27.6" x14ac:dyDescent="0.3">
      <c r="A5" s="3" t="s">
        <v>5</v>
      </c>
      <c r="B5" s="2" t="s">
        <v>6</v>
      </c>
    </row>
    <row r="6" spans="1:2" ht="27.6" x14ac:dyDescent="0.3">
      <c r="A6" s="3" t="s">
        <v>7</v>
      </c>
      <c r="B6" s="2" t="s">
        <v>8</v>
      </c>
    </row>
    <row r="7" spans="1:2" x14ac:dyDescent="0.3">
      <c r="A7" s="3" t="s">
        <v>9</v>
      </c>
      <c r="B7" s="2" t="s">
        <v>10</v>
      </c>
    </row>
    <row r="8" spans="1:2" x14ac:dyDescent="0.3">
      <c r="A8" s="3"/>
      <c r="B8" s="2"/>
    </row>
    <row r="9" spans="1:2" ht="17.399999999999999" x14ac:dyDescent="0.3">
      <c r="A9" s="1" t="s">
        <v>11</v>
      </c>
      <c r="B9" s="2"/>
    </row>
    <row r="10" spans="1:2" x14ac:dyDescent="0.3">
      <c r="A10" s="3" t="s">
        <v>12</v>
      </c>
      <c r="B10" s="4">
        <f>COUNTA('الهيكل في النظام'!E2:E120)</f>
        <v>119</v>
      </c>
    </row>
    <row r="11" spans="1:2" x14ac:dyDescent="0.3">
      <c r="A11" s="2" t="s">
        <v>13</v>
      </c>
      <c r="B11" s="4">
        <f>COUNTA('الهيكل في النظام'!I2:I120)</f>
        <v>0</v>
      </c>
    </row>
    <row r="12" spans="1:2" x14ac:dyDescent="0.3">
      <c r="A12" s="2" t="s">
        <v>14</v>
      </c>
      <c r="B12" s="4">
        <f>COUNTIF('الهيكل في النظام'!G2:G120,"&gt;0")</f>
        <v>65</v>
      </c>
    </row>
    <row r="13" spans="1:2" x14ac:dyDescent="0.3">
      <c r="A13" s="3" t="s">
        <v>15</v>
      </c>
      <c r="B13" s="4">
        <f>COUNTA('وحدات غير موجودة'!A2:A18)</f>
        <v>17</v>
      </c>
    </row>
    <row r="14" spans="1:2" x14ac:dyDescent="0.3">
      <c r="A14" s="2" t="s">
        <v>16</v>
      </c>
      <c r="B14" s="4">
        <f>COUNTA('وحدات غير موجودة'!J2:J18)</f>
        <v>0</v>
      </c>
    </row>
    <row r="15" spans="1:2" x14ac:dyDescent="0.3">
      <c r="A15" s="2" t="s">
        <v>17</v>
      </c>
      <c r="B15" s="4">
        <f>SUM('وحدات غير موجودة'!F2:F18)</f>
        <v>10</v>
      </c>
    </row>
    <row r="16" spans="1:2" x14ac:dyDescent="0.3">
      <c r="A16" s="3" t="s">
        <v>18</v>
      </c>
      <c r="B16" s="4">
        <f>SUM('ما لا يدخل الهيكل'!D2:D19)</f>
        <v>70</v>
      </c>
    </row>
    <row r="17" spans="1:2" x14ac:dyDescent="0.3">
      <c r="A17" s="3" t="s">
        <v>19</v>
      </c>
      <c r="B17" s="4">
        <f>COUNTA('أسئلة للموارد البشرية'!A2:A6)</f>
        <v>5</v>
      </c>
    </row>
    <row r="18" spans="1:2" x14ac:dyDescent="0.3">
      <c r="A18" s="2" t="s">
        <v>16</v>
      </c>
      <c r="B18" s="4">
        <f>COUNTA('أسئلة للموارد البشرية'!E2:E6)</f>
        <v>0</v>
      </c>
    </row>
    <row r="19" spans="1:2" x14ac:dyDescent="0.3">
      <c r="A19" s="3"/>
      <c r="B19" s="2"/>
    </row>
    <row r="20" spans="1:2" x14ac:dyDescent="0.3">
      <c r="A20" s="3" t="s">
        <v>20</v>
      </c>
      <c r="B20" s="2" t="s">
        <v>21</v>
      </c>
    </row>
    <row r="21" spans="1:2" x14ac:dyDescent="0.3">
      <c r="A21" s="3" t="s">
        <v>22</v>
      </c>
      <c r="B21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0" customWidth="1"/>
    <col min="3" max="3" width="34" customWidth="1"/>
    <col min="4" max="4" width="30" customWidth="1"/>
    <col min="5" max="5" width="15" customWidth="1"/>
    <col min="6" max="6" width="16" customWidth="1"/>
    <col min="7" max="7" width="12" customWidth="1"/>
    <col min="8" max="8" width="14" customWidth="1"/>
    <col min="9" max="9" width="18" customWidth="1"/>
    <col min="10" max="10" width="45" customWidth="1"/>
  </cols>
  <sheetData>
    <row r="1" spans="1:10" ht="27.6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</row>
    <row r="2" spans="1:10" x14ac:dyDescent="0.3">
      <c r="A2" s="6" t="s">
        <v>34</v>
      </c>
      <c r="B2" s="6" t="s">
        <v>35</v>
      </c>
      <c r="C2" s="6"/>
      <c r="D2" s="6"/>
      <c r="E2" s="6" t="s">
        <v>36</v>
      </c>
      <c r="F2" s="6" t="s">
        <v>37</v>
      </c>
      <c r="G2" s="6">
        <v>0</v>
      </c>
      <c r="H2" s="6">
        <v>0</v>
      </c>
      <c r="I2" s="7"/>
      <c r="J2" s="7"/>
    </row>
    <row r="3" spans="1:10" x14ac:dyDescent="0.3">
      <c r="A3" s="8" t="s">
        <v>38</v>
      </c>
      <c r="B3" s="9" t="s">
        <v>39</v>
      </c>
      <c r="C3" s="8"/>
      <c r="D3" s="8"/>
      <c r="E3" s="8" t="s">
        <v>40</v>
      </c>
      <c r="F3" s="8" t="s">
        <v>37</v>
      </c>
      <c r="G3" s="8">
        <v>0</v>
      </c>
      <c r="H3" s="8">
        <v>1</v>
      </c>
      <c r="I3" s="7"/>
      <c r="J3" s="7"/>
    </row>
    <row r="4" spans="1:10" x14ac:dyDescent="0.3">
      <c r="A4" s="8" t="s">
        <v>38</v>
      </c>
      <c r="B4" s="9" t="s">
        <v>41</v>
      </c>
      <c r="C4" s="8"/>
      <c r="D4" s="8"/>
      <c r="E4" s="8" t="s">
        <v>42</v>
      </c>
      <c r="F4" s="8" t="s">
        <v>37</v>
      </c>
      <c r="G4" s="8">
        <v>2</v>
      </c>
      <c r="H4" s="8">
        <v>2</v>
      </c>
      <c r="I4" s="7"/>
      <c r="J4" s="7"/>
    </row>
    <row r="5" spans="1:10" x14ac:dyDescent="0.3">
      <c r="A5" s="8" t="s">
        <v>38</v>
      </c>
      <c r="B5" s="9" t="s">
        <v>43</v>
      </c>
      <c r="C5" s="8"/>
      <c r="D5" s="8"/>
      <c r="E5" s="8" t="s">
        <v>44</v>
      </c>
      <c r="F5" s="8" t="s">
        <v>37</v>
      </c>
      <c r="G5" s="8">
        <v>1</v>
      </c>
      <c r="H5" s="8">
        <v>1</v>
      </c>
      <c r="I5" s="7"/>
      <c r="J5" s="7"/>
    </row>
    <row r="6" spans="1:10" x14ac:dyDescent="0.3">
      <c r="A6" s="10" t="s">
        <v>45</v>
      </c>
      <c r="B6" s="10" t="s">
        <v>43</v>
      </c>
      <c r="C6" s="10" t="s">
        <v>46</v>
      </c>
      <c r="D6" s="10"/>
      <c r="E6" s="10" t="s">
        <v>47</v>
      </c>
      <c r="F6" s="10" t="s">
        <v>37</v>
      </c>
      <c r="G6" s="10">
        <v>0</v>
      </c>
      <c r="H6" s="10">
        <v>1</v>
      </c>
      <c r="I6" s="7"/>
      <c r="J6" s="7"/>
    </row>
    <row r="7" spans="1:10" ht="27.6" x14ac:dyDescent="0.3">
      <c r="A7" s="11" t="s">
        <v>48</v>
      </c>
      <c r="B7" s="11" t="s">
        <v>43</v>
      </c>
      <c r="C7" s="11" t="s">
        <v>46</v>
      </c>
      <c r="D7" s="11" t="s">
        <v>49</v>
      </c>
      <c r="E7" s="11" t="s">
        <v>50</v>
      </c>
      <c r="F7" s="11" t="s">
        <v>37</v>
      </c>
      <c r="G7" s="11">
        <v>0</v>
      </c>
      <c r="H7" s="11">
        <v>1</v>
      </c>
      <c r="I7" s="7"/>
      <c r="J7" s="7"/>
    </row>
    <row r="8" spans="1:10" ht="27.6" x14ac:dyDescent="0.3">
      <c r="A8" s="11" t="s">
        <v>48</v>
      </c>
      <c r="B8" s="11" t="s">
        <v>43</v>
      </c>
      <c r="C8" s="11" t="s">
        <v>46</v>
      </c>
      <c r="D8" s="11" t="s">
        <v>51</v>
      </c>
      <c r="E8" s="11" t="s">
        <v>52</v>
      </c>
      <c r="F8" s="11" t="s">
        <v>37</v>
      </c>
      <c r="G8" s="11">
        <v>0</v>
      </c>
      <c r="H8" s="11">
        <v>1</v>
      </c>
      <c r="I8" s="7"/>
      <c r="J8" s="7"/>
    </row>
    <row r="9" spans="1:10" x14ac:dyDescent="0.3">
      <c r="A9" s="10" t="s">
        <v>45</v>
      </c>
      <c r="B9" s="10" t="s">
        <v>43</v>
      </c>
      <c r="C9" s="10" t="s">
        <v>53</v>
      </c>
      <c r="D9" s="10"/>
      <c r="E9" s="10" t="s">
        <v>54</v>
      </c>
      <c r="F9" s="10" t="s">
        <v>37</v>
      </c>
      <c r="G9" s="10">
        <v>1</v>
      </c>
      <c r="H9" s="10">
        <v>1</v>
      </c>
      <c r="I9" s="7"/>
      <c r="J9" s="7"/>
    </row>
    <row r="10" spans="1:10" x14ac:dyDescent="0.3">
      <c r="A10" s="11" t="s">
        <v>48</v>
      </c>
      <c r="B10" s="11" t="s">
        <v>43</v>
      </c>
      <c r="C10" s="11" t="s">
        <v>53</v>
      </c>
      <c r="D10" s="11" t="s">
        <v>55</v>
      </c>
      <c r="E10" s="11" t="s">
        <v>56</v>
      </c>
      <c r="F10" s="11" t="s">
        <v>37</v>
      </c>
      <c r="G10" s="11">
        <v>1</v>
      </c>
      <c r="H10" s="11">
        <v>2</v>
      </c>
      <c r="I10" s="7"/>
      <c r="J10" s="7"/>
    </row>
    <row r="11" spans="1:10" x14ac:dyDescent="0.3">
      <c r="A11" s="10" t="s">
        <v>45</v>
      </c>
      <c r="B11" s="10" t="s">
        <v>43</v>
      </c>
      <c r="C11" s="10" t="s">
        <v>57</v>
      </c>
      <c r="D11" s="10"/>
      <c r="E11" s="10" t="s">
        <v>58</v>
      </c>
      <c r="F11" s="10" t="s">
        <v>37</v>
      </c>
      <c r="G11" s="10">
        <v>1</v>
      </c>
      <c r="H11" s="10">
        <v>1</v>
      </c>
      <c r="I11" s="7"/>
      <c r="J11" s="7"/>
    </row>
    <row r="12" spans="1:10" x14ac:dyDescent="0.3">
      <c r="A12" s="10" t="s">
        <v>45</v>
      </c>
      <c r="B12" s="10" t="s">
        <v>43</v>
      </c>
      <c r="C12" s="10" t="s">
        <v>59</v>
      </c>
      <c r="D12" s="10"/>
      <c r="E12" s="10" t="s">
        <v>60</v>
      </c>
      <c r="F12" s="10" t="s">
        <v>37</v>
      </c>
      <c r="G12" s="10">
        <v>1</v>
      </c>
      <c r="H12" s="10">
        <v>1</v>
      </c>
      <c r="I12" s="7"/>
      <c r="J12" s="7"/>
    </row>
    <row r="13" spans="1:10" x14ac:dyDescent="0.3">
      <c r="A13" s="11" t="s">
        <v>48</v>
      </c>
      <c r="B13" s="11" t="s">
        <v>43</v>
      </c>
      <c r="C13" s="11" t="s">
        <v>59</v>
      </c>
      <c r="D13" s="11" t="s">
        <v>61</v>
      </c>
      <c r="E13" s="11" t="s">
        <v>62</v>
      </c>
      <c r="F13" s="11" t="s">
        <v>37</v>
      </c>
      <c r="G13" s="11">
        <v>0</v>
      </c>
      <c r="H13" s="11">
        <v>1</v>
      </c>
      <c r="I13" s="7"/>
      <c r="J13" s="7"/>
    </row>
    <row r="14" spans="1:10" x14ac:dyDescent="0.3">
      <c r="A14" s="11" t="s">
        <v>48</v>
      </c>
      <c r="B14" s="11" t="s">
        <v>43</v>
      </c>
      <c r="C14" s="11" t="s">
        <v>59</v>
      </c>
      <c r="D14" s="11" t="s">
        <v>63</v>
      </c>
      <c r="E14" s="11" t="s">
        <v>64</v>
      </c>
      <c r="F14" s="11" t="s">
        <v>37</v>
      </c>
      <c r="G14" s="11">
        <v>1</v>
      </c>
      <c r="H14" s="11">
        <v>1</v>
      </c>
      <c r="I14" s="7"/>
      <c r="J14" s="7"/>
    </row>
    <row r="15" spans="1:10" x14ac:dyDescent="0.3">
      <c r="A15" s="10" t="s">
        <v>45</v>
      </c>
      <c r="B15" s="10" t="s">
        <v>43</v>
      </c>
      <c r="C15" s="10" t="s">
        <v>65</v>
      </c>
      <c r="D15" s="10"/>
      <c r="E15" s="10" t="s">
        <v>66</v>
      </c>
      <c r="F15" s="10" t="s">
        <v>37</v>
      </c>
      <c r="G15" s="10">
        <v>0</v>
      </c>
      <c r="H15" s="10">
        <v>1</v>
      </c>
      <c r="I15" s="7"/>
      <c r="J15" s="7"/>
    </row>
    <row r="16" spans="1:10" x14ac:dyDescent="0.3">
      <c r="A16" s="11" t="s">
        <v>48</v>
      </c>
      <c r="B16" s="11" t="s">
        <v>43</v>
      </c>
      <c r="C16" s="11" t="s">
        <v>65</v>
      </c>
      <c r="D16" s="11" t="s">
        <v>67</v>
      </c>
      <c r="E16" s="11" t="s">
        <v>68</v>
      </c>
      <c r="F16" s="11" t="s">
        <v>37</v>
      </c>
      <c r="G16" s="11">
        <v>0</v>
      </c>
      <c r="H16" s="11">
        <v>2</v>
      </c>
      <c r="I16" s="7"/>
      <c r="J16" s="7"/>
    </row>
    <row r="17" spans="1:10" x14ac:dyDescent="0.3">
      <c r="A17" s="11" t="s">
        <v>48</v>
      </c>
      <c r="B17" s="11" t="s">
        <v>43</v>
      </c>
      <c r="C17" s="11" t="s">
        <v>65</v>
      </c>
      <c r="D17" s="11" t="s">
        <v>69</v>
      </c>
      <c r="E17" s="11" t="s">
        <v>70</v>
      </c>
      <c r="F17" s="11" t="s">
        <v>37</v>
      </c>
      <c r="G17" s="11">
        <v>0</v>
      </c>
      <c r="H17" s="11">
        <v>2</v>
      </c>
      <c r="I17" s="7"/>
      <c r="J17" s="7"/>
    </row>
    <row r="18" spans="1:10" x14ac:dyDescent="0.3">
      <c r="A18" s="8" t="s">
        <v>38</v>
      </c>
      <c r="B18" s="9" t="s">
        <v>71</v>
      </c>
      <c r="C18" s="8"/>
      <c r="D18" s="8"/>
      <c r="E18" s="8" t="s">
        <v>72</v>
      </c>
      <c r="F18" s="8" t="s">
        <v>37</v>
      </c>
      <c r="G18" s="8">
        <v>1</v>
      </c>
      <c r="H18" s="8">
        <v>1</v>
      </c>
      <c r="I18" s="7"/>
      <c r="J18" s="7"/>
    </row>
    <row r="19" spans="1:10" x14ac:dyDescent="0.3">
      <c r="A19" s="10" t="s">
        <v>45</v>
      </c>
      <c r="B19" s="10" t="s">
        <v>71</v>
      </c>
      <c r="C19" s="10" t="s">
        <v>73</v>
      </c>
      <c r="D19" s="10"/>
      <c r="E19" s="10" t="s">
        <v>74</v>
      </c>
      <c r="F19" s="10" t="s">
        <v>37</v>
      </c>
      <c r="G19" s="10">
        <v>0</v>
      </c>
      <c r="H19" s="10">
        <v>1</v>
      </c>
      <c r="I19" s="7"/>
      <c r="J19" s="7"/>
    </row>
    <row r="20" spans="1:10" x14ac:dyDescent="0.3">
      <c r="A20" s="10" t="s">
        <v>45</v>
      </c>
      <c r="B20" s="10" t="s">
        <v>71</v>
      </c>
      <c r="C20" s="10" t="s">
        <v>75</v>
      </c>
      <c r="D20" s="10"/>
      <c r="E20" s="10" t="s">
        <v>76</v>
      </c>
      <c r="F20" s="10" t="s">
        <v>37</v>
      </c>
      <c r="G20" s="10">
        <v>0</v>
      </c>
      <c r="H20" s="10">
        <v>1</v>
      </c>
      <c r="I20" s="7"/>
      <c r="J20" s="7"/>
    </row>
    <row r="21" spans="1:10" x14ac:dyDescent="0.3">
      <c r="A21" s="10" t="s">
        <v>45</v>
      </c>
      <c r="B21" s="10" t="s">
        <v>71</v>
      </c>
      <c r="C21" s="10" t="s">
        <v>77</v>
      </c>
      <c r="D21" s="10"/>
      <c r="E21" s="10" t="s">
        <v>78</v>
      </c>
      <c r="F21" s="10" t="s">
        <v>37</v>
      </c>
      <c r="G21" s="10">
        <v>1</v>
      </c>
      <c r="H21" s="10">
        <v>1</v>
      </c>
      <c r="I21" s="7"/>
      <c r="J21" s="7"/>
    </row>
    <row r="22" spans="1:10" x14ac:dyDescent="0.3">
      <c r="A22" s="10" t="s">
        <v>45</v>
      </c>
      <c r="B22" s="10" t="s">
        <v>71</v>
      </c>
      <c r="C22" s="10" t="s">
        <v>79</v>
      </c>
      <c r="D22" s="10"/>
      <c r="E22" s="10" t="s">
        <v>80</v>
      </c>
      <c r="F22" s="10" t="s">
        <v>37</v>
      </c>
      <c r="G22" s="10">
        <v>0</v>
      </c>
      <c r="H22" s="10">
        <v>1</v>
      </c>
      <c r="I22" s="7"/>
      <c r="J22" s="7"/>
    </row>
    <row r="23" spans="1:10" x14ac:dyDescent="0.3">
      <c r="A23" s="10" t="s">
        <v>45</v>
      </c>
      <c r="B23" s="10" t="s">
        <v>71</v>
      </c>
      <c r="C23" s="10" t="s">
        <v>81</v>
      </c>
      <c r="D23" s="10"/>
      <c r="E23" s="10" t="s">
        <v>82</v>
      </c>
      <c r="F23" s="10" t="s">
        <v>37</v>
      </c>
      <c r="G23" s="10">
        <v>0</v>
      </c>
      <c r="H23" s="10">
        <v>1</v>
      </c>
      <c r="I23" s="7"/>
      <c r="J23" s="7"/>
    </row>
    <row r="24" spans="1:10" x14ac:dyDescent="0.3">
      <c r="A24" s="10" t="s">
        <v>45</v>
      </c>
      <c r="B24" s="10" t="s">
        <v>71</v>
      </c>
      <c r="C24" s="10" t="s">
        <v>83</v>
      </c>
      <c r="D24" s="10"/>
      <c r="E24" s="10" t="s">
        <v>84</v>
      </c>
      <c r="F24" s="10" t="s">
        <v>37</v>
      </c>
      <c r="G24" s="10">
        <v>1</v>
      </c>
      <c r="H24" s="10">
        <v>2</v>
      </c>
      <c r="I24" s="7"/>
      <c r="J24" s="7"/>
    </row>
    <row r="25" spans="1:10" x14ac:dyDescent="0.3">
      <c r="A25" s="8" t="s">
        <v>38</v>
      </c>
      <c r="B25" s="9" t="s">
        <v>85</v>
      </c>
      <c r="C25" s="8"/>
      <c r="D25" s="8"/>
      <c r="E25" s="8" t="s">
        <v>86</v>
      </c>
      <c r="F25" s="8" t="s">
        <v>37</v>
      </c>
      <c r="G25" s="8">
        <v>1</v>
      </c>
      <c r="H25" s="8">
        <v>1</v>
      </c>
      <c r="I25" s="7"/>
      <c r="J25" s="7"/>
    </row>
    <row r="26" spans="1:10" x14ac:dyDescent="0.3">
      <c r="A26" s="10" t="s">
        <v>45</v>
      </c>
      <c r="B26" s="10" t="s">
        <v>85</v>
      </c>
      <c r="C26" s="10" t="s">
        <v>87</v>
      </c>
      <c r="D26" s="10"/>
      <c r="E26" s="10" t="s">
        <v>88</v>
      </c>
      <c r="F26" s="10" t="s">
        <v>37</v>
      </c>
      <c r="G26" s="10">
        <v>2</v>
      </c>
      <c r="H26" s="10">
        <v>2</v>
      </c>
      <c r="I26" s="7"/>
      <c r="J26" s="7"/>
    </row>
    <row r="27" spans="1:10" ht="27.6" x14ac:dyDescent="0.3">
      <c r="A27" s="11" t="s">
        <v>48</v>
      </c>
      <c r="B27" s="11" t="s">
        <v>85</v>
      </c>
      <c r="C27" s="11" t="s">
        <v>87</v>
      </c>
      <c r="D27" s="11" t="s">
        <v>89</v>
      </c>
      <c r="E27" s="11" t="s">
        <v>90</v>
      </c>
      <c r="F27" s="11" t="s">
        <v>37</v>
      </c>
      <c r="G27" s="11">
        <v>0</v>
      </c>
      <c r="H27" s="11">
        <v>1</v>
      </c>
      <c r="I27" s="7"/>
      <c r="J27" s="7"/>
    </row>
    <row r="28" spans="1:10" ht="27.6" x14ac:dyDescent="0.3">
      <c r="A28" s="11" t="s">
        <v>48</v>
      </c>
      <c r="B28" s="11" t="s">
        <v>85</v>
      </c>
      <c r="C28" s="11" t="s">
        <v>87</v>
      </c>
      <c r="D28" s="11" t="s">
        <v>91</v>
      </c>
      <c r="E28" s="11" t="s">
        <v>92</v>
      </c>
      <c r="F28" s="11" t="s">
        <v>37</v>
      </c>
      <c r="G28" s="11">
        <v>1</v>
      </c>
      <c r="H28" s="11">
        <v>1</v>
      </c>
      <c r="I28" s="7"/>
      <c r="J28" s="7"/>
    </row>
    <row r="29" spans="1:10" x14ac:dyDescent="0.3">
      <c r="A29" s="10" t="s">
        <v>45</v>
      </c>
      <c r="B29" s="10" t="s">
        <v>85</v>
      </c>
      <c r="C29" s="10" t="s">
        <v>93</v>
      </c>
      <c r="D29" s="10"/>
      <c r="E29" s="10" t="s">
        <v>94</v>
      </c>
      <c r="F29" s="10" t="s">
        <v>37</v>
      </c>
      <c r="G29" s="10">
        <v>2</v>
      </c>
      <c r="H29" s="10">
        <v>2</v>
      </c>
      <c r="I29" s="7"/>
      <c r="J29" s="7"/>
    </row>
    <row r="30" spans="1:10" ht="27.6" x14ac:dyDescent="0.3">
      <c r="A30" s="11" t="s">
        <v>48</v>
      </c>
      <c r="B30" s="11" t="s">
        <v>85</v>
      </c>
      <c r="C30" s="11" t="s">
        <v>93</v>
      </c>
      <c r="D30" s="11" t="s">
        <v>95</v>
      </c>
      <c r="E30" s="11" t="s">
        <v>96</v>
      </c>
      <c r="F30" s="11" t="s">
        <v>37</v>
      </c>
      <c r="G30" s="11">
        <v>1</v>
      </c>
      <c r="H30" s="11">
        <v>2</v>
      </c>
      <c r="I30" s="7"/>
      <c r="J30" s="7"/>
    </row>
    <row r="31" spans="1:10" x14ac:dyDescent="0.3">
      <c r="A31" s="11" t="s">
        <v>48</v>
      </c>
      <c r="B31" s="11" t="s">
        <v>85</v>
      </c>
      <c r="C31" s="11" t="s">
        <v>93</v>
      </c>
      <c r="D31" s="11" t="s">
        <v>97</v>
      </c>
      <c r="E31" s="11" t="s">
        <v>98</v>
      </c>
      <c r="F31" s="11" t="s">
        <v>37</v>
      </c>
      <c r="G31" s="11">
        <v>2</v>
      </c>
      <c r="H31" s="11">
        <v>2</v>
      </c>
      <c r="I31" s="7"/>
      <c r="J31" s="7"/>
    </row>
    <row r="32" spans="1:10" x14ac:dyDescent="0.3">
      <c r="A32" s="10" t="s">
        <v>45</v>
      </c>
      <c r="B32" s="10" t="s">
        <v>85</v>
      </c>
      <c r="C32" s="10" t="s">
        <v>99</v>
      </c>
      <c r="D32" s="10"/>
      <c r="E32" s="10" t="s">
        <v>100</v>
      </c>
      <c r="F32" s="10" t="s">
        <v>37</v>
      </c>
      <c r="G32" s="10">
        <v>0</v>
      </c>
      <c r="H32" s="10">
        <v>1</v>
      </c>
      <c r="I32" s="7"/>
      <c r="J32" s="7"/>
    </row>
    <row r="33" spans="1:10" x14ac:dyDescent="0.3">
      <c r="A33" s="8" t="s">
        <v>38</v>
      </c>
      <c r="B33" s="9" t="s">
        <v>101</v>
      </c>
      <c r="C33" s="8"/>
      <c r="D33" s="8"/>
      <c r="E33" s="8" t="s">
        <v>102</v>
      </c>
      <c r="F33" s="8" t="s">
        <v>37</v>
      </c>
      <c r="G33" s="8">
        <v>1</v>
      </c>
      <c r="H33" s="8">
        <v>1</v>
      </c>
      <c r="I33" s="7"/>
      <c r="J33" s="7"/>
    </row>
    <row r="34" spans="1:10" x14ac:dyDescent="0.3">
      <c r="A34" s="10" t="s">
        <v>45</v>
      </c>
      <c r="B34" s="10" t="s">
        <v>101</v>
      </c>
      <c r="C34" s="10" t="s">
        <v>103</v>
      </c>
      <c r="D34" s="10"/>
      <c r="E34" s="10" t="s">
        <v>104</v>
      </c>
      <c r="F34" s="10" t="s">
        <v>37</v>
      </c>
      <c r="G34" s="10">
        <v>0</v>
      </c>
      <c r="H34" s="10">
        <v>1</v>
      </c>
      <c r="I34" s="7"/>
      <c r="J34" s="7"/>
    </row>
    <row r="35" spans="1:10" x14ac:dyDescent="0.3">
      <c r="A35" s="11" t="s">
        <v>48</v>
      </c>
      <c r="B35" s="11" t="s">
        <v>101</v>
      </c>
      <c r="C35" s="11" t="s">
        <v>103</v>
      </c>
      <c r="D35" s="11" t="s">
        <v>105</v>
      </c>
      <c r="E35" s="11" t="s">
        <v>106</v>
      </c>
      <c r="F35" s="11" t="s">
        <v>37</v>
      </c>
      <c r="G35" s="11">
        <v>0</v>
      </c>
      <c r="H35" s="11">
        <v>1</v>
      </c>
      <c r="I35" s="7"/>
      <c r="J35" s="7"/>
    </row>
    <row r="36" spans="1:10" x14ac:dyDescent="0.3">
      <c r="A36" s="11" t="s">
        <v>48</v>
      </c>
      <c r="B36" s="11" t="s">
        <v>101</v>
      </c>
      <c r="C36" s="11" t="s">
        <v>103</v>
      </c>
      <c r="D36" s="11" t="s">
        <v>107</v>
      </c>
      <c r="E36" s="11" t="s">
        <v>108</v>
      </c>
      <c r="F36" s="11" t="s">
        <v>37</v>
      </c>
      <c r="G36" s="11">
        <v>0</v>
      </c>
      <c r="H36" s="11">
        <v>1</v>
      </c>
      <c r="I36" s="7"/>
      <c r="J36" s="7"/>
    </row>
    <row r="37" spans="1:10" x14ac:dyDescent="0.3">
      <c r="A37" s="10" t="s">
        <v>45</v>
      </c>
      <c r="B37" s="10" t="s">
        <v>101</v>
      </c>
      <c r="C37" s="10" t="s">
        <v>109</v>
      </c>
      <c r="D37" s="10"/>
      <c r="E37" s="10" t="s">
        <v>110</v>
      </c>
      <c r="F37" s="10" t="s">
        <v>37</v>
      </c>
      <c r="G37" s="10">
        <v>0</v>
      </c>
      <c r="H37" s="10">
        <v>1</v>
      </c>
      <c r="I37" s="7"/>
      <c r="J37" s="7"/>
    </row>
    <row r="38" spans="1:10" x14ac:dyDescent="0.3">
      <c r="A38" s="11" t="s">
        <v>48</v>
      </c>
      <c r="B38" s="11" t="s">
        <v>101</v>
      </c>
      <c r="C38" s="11" t="s">
        <v>109</v>
      </c>
      <c r="D38" s="11" t="s">
        <v>111</v>
      </c>
      <c r="E38" s="11" t="s">
        <v>112</v>
      </c>
      <c r="F38" s="11" t="s">
        <v>37</v>
      </c>
      <c r="G38" s="11">
        <v>0</v>
      </c>
      <c r="H38" s="11">
        <v>1</v>
      </c>
      <c r="I38" s="7"/>
      <c r="J38" s="7"/>
    </row>
    <row r="39" spans="1:10" x14ac:dyDescent="0.3">
      <c r="A39" s="8" t="s">
        <v>38</v>
      </c>
      <c r="B39" s="9" t="s">
        <v>113</v>
      </c>
      <c r="C39" s="8"/>
      <c r="D39" s="8"/>
      <c r="E39" s="8" t="s">
        <v>114</v>
      </c>
      <c r="F39" s="8" t="s">
        <v>37</v>
      </c>
      <c r="G39" s="8">
        <v>1</v>
      </c>
      <c r="H39" s="8">
        <v>1</v>
      </c>
      <c r="I39" s="7"/>
      <c r="J39" s="7"/>
    </row>
    <row r="40" spans="1:10" x14ac:dyDescent="0.3">
      <c r="A40" s="10" t="s">
        <v>45</v>
      </c>
      <c r="B40" s="10" t="s">
        <v>113</v>
      </c>
      <c r="C40" s="10" t="s">
        <v>115</v>
      </c>
      <c r="D40" s="10"/>
      <c r="E40" s="10" t="s">
        <v>116</v>
      </c>
      <c r="F40" s="10" t="s">
        <v>37</v>
      </c>
      <c r="G40" s="10">
        <v>1</v>
      </c>
      <c r="H40" s="10">
        <v>1</v>
      </c>
      <c r="I40" s="7"/>
      <c r="J40" s="7"/>
    </row>
    <row r="41" spans="1:10" x14ac:dyDescent="0.3">
      <c r="A41" s="10" t="s">
        <v>45</v>
      </c>
      <c r="B41" s="10" t="s">
        <v>113</v>
      </c>
      <c r="C41" s="10" t="s">
        <v>117</v>
      </c>
      <c r="D41" s="10"/>
      <c r="E41" s="10" t="s">
        <v>118</v>
      </c>
      <c r="F41" s="10" t="s">
        <v>37</v>
      </c>
      <c r="G41" s="10">
        <v>1</v>
      </c>
      <c r="H41" s="10">
        <v>5</v>
      </c>
      <c r="I41" s="7"/>
      <c r="J41" s="7"/>
    </row>
    <row r="42" spans="1:10" x14ac:dyDescent="0.3">
      <c r="A42" s="10" t="s">
        <v>45</v>
      </c>
      <c r="B42" s="10" t="s">
        <v>113</v>
      </c>
      <c r="C42" s="10" t="s">
        <v>119</v>
      </c>
      <c r="D42" s="10"/>
      <c r="E42" s="10" t="s">
        <v>120</v>
      </c>
      <c r="F42" s="10" t="s">
        <v>37</v>
      </c>
      <c r="G42" s="10">
        <v>0</v>
      </c>
      <c r="H42" s="10">
        <v>0</v>
      </c>
      <c r="I42" s="7"/>
      <c r="J42" s="7"/>
    </row>
    <row r="43" spans="1:10" x14ac:dyDescent="0.3">
      <c r="A43" s="8" t="s">
        <v>38</v>
      </c>
      <c r="B43" s="9" t="s">
        <v>121</v>
      </c>
      <c r="C43" s="8"/>
      <c r="D43" s="8"/>
      <c r="E43" s="8" t="s">
        <v>122</v>
      </c>
      <c r="F43" s="8" t="s">
        <v>37</v>
      </c>
      <c r="G43" s="8">
        <v>1</v>
      </c>
      <c r="H43" s="8">
        <v>1</v>
      </c>
      <c r="I43" s="7"/>
      <c r="J43" s="7"/>
    </row>
    <row r="44" spans="1:10" x14ac:dyDescent="0.3">
      <c r="A44" s="10" t="s">
        <v>45</v>
      </c>
      <c r="B44" s="10" t="s">
        <v>121</v>
      </c>
      <c r="C44" s="10" t="s">
        <v>123</v>
      </c>
      <c r="D44" s="10"/>
      <c r="E44" s="10" t="s">
        <v>124</v>
      </c>
      <c r="F44" s="10" t="s">
        <v>37</v>
      </c>
      <c r="G44" s="10">
        <v>0</v>
      </c>
      <c r="H44" s="10">
        <v>1</v>
      </c>
      <c r="I44" s="7"/>
      <c r="J44" s="7"/>
    </row>
    <row r="45" spans="1:10" ht="27.6" x14ac:dyDescent="0.3">
      <c r="A45" s="11" t="s">
        <v>48</v>
      </c>
      <c r="B45" s="11" t="s">
        <v>121</v>
      </c>
      <c r="C45" s="11" t="s">
        <v>123</v>
      </c>
      <c r="D45" s="11" t="s">
        <v>125</v>
      </c>
      <c r="E45" s="11" t="s">
        <v>126</v>
      </c>
      <c r="F45" s="11" t="s">
        <v>37</v>
      </c>
      <c r="G45" s="11">
        <v>0</v>
      </c>
      <c r="H45" s="11">
        <v>1</v>
      </c>
      <c r="I45" s="7"/>
      <c r="J45" s="7"/>
    </row>
    <row r="46" spans="1:10" ht="27.6" x14ac:dyDescent="0.3">
      <c r="A46" s="11" t="s">
        <v>48</v>
      </c>
      <c r="B46" s="11" t="s">
        <v>121</v>
      </c>
      <c r="C46" s="11" t="s">
        <v>123</v>
      </c>
      <c r="D46" s="11" t="s">
        <v>127</v>
      </c>
      <c r="E46" s="11" t="s">
        <v>128</v>
      </c>
      <c r="F46" s="11" t="s">
        <v>37</v>
      </c>
      <c r="G46" s="11">
        <v>25</v>
      </c>
      <c r="H46" s="11">
        <v>34</v>
      </c>
      <c r="I46" s="7"/>
      <c r="J46" s="7"/>
    </row>
    <row r="47" spans="1:10" x14ac:dyDescent="0.3">
      <c r="A47" s="8" t="s">
        <v>38</v>
      </c>
      <c r="B47" s="9" t="s">
        <v>129</v>
      </c>
      <c r="C47" s="8"/>
      <c r="D47" s="8"/>
      <c r="E47" s="8" t="s">
        <v>130</v>
      </c>
      <c r="F47" s="8" t="s">
        <v>37</v>
      </c>
      <c r="G47" s="8">
        <v>0</v>
      </c>
      <c r="H47" s="8">
        <v>1</v>
      </c>
      <c r="I47" s="7"/>
      <c r="J47" s="7"/>
    </row>
    <row r="48" spans="1:10" x14ac:dyDescent="0.3">
      <c r="A48" s="10" t="s">
        <v>45</v>
      </c>
      <c r="B48" s="10" t="s">
        <v>129</v>
      </c>
      <c r="C48" s="10" t="s">
        <v>131</v>
      </c>
      <c r="D48" s="10"/>
      <c r="E48" s="10" t="s">
        <v>132</v>
      </c>
      <c r="F48" s="10" t="s">
        <v>37</v>
      </c>
      <c r="G48" s="10">
        <v>0</v>
      </c>
      <c r="H48" s="10">
        <v>1</v>
      </c>
      <c r="I48" s="7"/>
      <c r="J48" s="7"/>
    </row>
    <row r="49" spans="1:10" x14ac:dyDescent="0.3">
      <c r="A49" s="10" t="s">
        <v>45</v>
      </c>
      <c r="B49" s="10" t="s">
        <v>129</v>
      </c>
      <c r="C49" s="10" t="s">
        <v>133</v>
      </c>
      <c r="D49" s="10"/>
      <c r="E49" s="10" t="s">
        <v>134</v>
      </c>
      <c r="F49" s="10" t="s">
        <v>37</v>
      </c>
      <c r="G49" s="10">
        <v>0</v>
      </c>
      <c r="H49" s="10">
        <v>1</v>
      </c>
      <c r="I49" s="7"/>
      <c r="J49" s="7"/>
    </row>
    <row r="50" spans="1:10" x14ac:dyDescent="0.3">
      <c r="A50" s="8" t="s">
        <v>38</v>
      </c>
      <c r="B50" s="9" t="s">
        <v>135</v>
      </c>
      <c r="C50" s="8"/>
      <c r="D50" s="8"/>
      <c r="E50" s="8" t="s">
        <v>136</v>
      </c>
      <c r="F50" s="8" t="s">
        <v>37</v>
      </c>
      <c r="G50" s="8">
        <v>0</v>
      </c>
      <c r="H50" s="8">
        <v>1</v>
      </c>
      <c r="I50" s="7"/>
      <c r="J50" s="7"/>
    </row>
    <row r="51" spans="1:10" x14ac:dyDescent="0.3">
      <c r="A51" s="10" t="s">
        <v>45</v>
      </c>
      <c r="B51" s="10" t="s">
        <v>135</v>
      </c>
      <c r="C51" s="10" t="s">
        <v>137</v>
      </c>
      <c r="D51" s="10"/>
      <c r="E51" s="10" t="s">
        <v>138</v>
      </c>
      <c r="F51" s="10" t="s">
        <v>37</v>
      </c>
      <c r="G51" s="10">
        <v>0</v>
      </c>
      <c r="H51" s="10">
        <v>1</v>
      </c>
      <c r="I51" s="7"/>
      <c r="J51" s="7"/>
    </row>
    <row r="52" spans="1:10" x14ac:dyDescent="0.3">
      <c r="A52" s="10" t="s">
        <v>45</v>
      </c>
      <c r="B52" s="10" t="s">
        <v>135</v>
      </c>
      <c r="C52" s="10" t="s">
        <v>139</v>
      </c>
      <c r="D52" s="10"/>
      <c r="E52" s="10" t="s">
        <v>140</v>
      </c>
      <c r="F52" s="10" t="s">
        <v>37</v>
      </c>
      <c r="G52" s="10">
        <v>0</v>
      </c>
      <c r="H52" s="10">
        <v>1</v>
      </c>
      <c r="I52" s="7"/>
      <c r="J52" s="7"/>
    </row>
    <row r="53" spans="1:10" x14ac:dyDescent="0.3">
      <c r="A53" s="8" t="s">
        <v>38</v>
      </c>
      <c r="B53" s="9" t="s">
        <v>141</v>
      </c>
      <c r="C53" s="8"/>
      <c r="D53" s="8"/>
      <c r="E53" s="8" t="s">
        <v>142</v>
      </c>
      <c r="F53" s="8" t="s">
        <v>37</v>
      </c>
      <c r="G53" s="8">
        <v>1</v>
      </c>
      <c r="H53" s="8">
        <v>1</v>
      </c>
      <c r="I53" s="7"/>
      <c r="J53" s="7"/>
    </row>
    <row r="54" spans="1:10" x14ac:dyDescent="0.3">
      <c r="A54" s="10" t="s">
        <v>45</v>
      </c>
      <c r="B54" s="10" t="s">
        <v>141</v>
      </c>
      <c r="C54" s="10" t="s">
        <v>143</v>
      </c>
      <c r="D54" s="10"/>
      <c r="E54" s="10" t="s">
        <v>144</v>
      </c>
      <c r="F54" s="10" t="s">
        <v>37</v>
      </c>
      <c r="G54" s="10">
        <v>1</v>
      </c>
      <c r="H54" s="10">
        <v>4</v>
      </c>
      <c r="I54" s="7"/>
      <c r="J54" s="7"/>
    </row>
    <row r="55" spans="1:10" x14ac:dyDescent="0.3">
      <c r="A55" s="10" t="s">
        <v>45</v>
      </c>
      <c r="B55" s="10" t="s">
        <v>141</v>
      </c>
      <c r="C55" s="10" t="s">
        <v>145</v>
      </c>
      <c r="D55" s="10"/>
      <c r="E55" s="10" t="s">
        <v>146</v>
      </c>
      <c r="F55" s="10" t="s">
        <v>37</v>
      </c>
      <c r="G55" s="10">
        <v>0</v>
      </c>
      <c r="H55" s="10">
        <v>1</v>
      </c>
      <c r="I55" s="7"/>
      <c r="J55" s="7"/>
    </row>
    <row r="56" spans="1:10" ht="27.6" x14ac:dyDescent="0.3">
      <c r="A56" s="11" t="s">
        <v>48</v>
      </c>
      <c r="B56" s="11" t="s">
        <v>141</v>
      </c>
      <c r="C56" s="11" t="s">
        <v>145</v>
      </c>
      <c r="D56" s="11" t="s">
        <v>147</v>
      </c>
      <c r="E56" s="11" t="s">
        <v>148</v>
      </c>
      <c r="F56" s="11" t="s">
        <v>37</v>
      </c>
      <c r="G56" s="11">
        <v>3</v>
      </c>
      <c r="H56" s="11">
        <v>5</v>
      </c>
      <c r="I56" s="7"/>
      <c r="J56" s="7"/>
    </row>
    <row r="57" spans="1:10" ht="27.6" x14ac:dyDescent="0.3">
      <c r="A57" s="11" t="s">
        <v>48</v>
      </c>
      <c r="B57" s="11" t="s">
        <v>141</v>
      </c>
      <c r="C57" s="11" t="s">
        <v>145</v>
      </c>
      <c r="D57" s="11" t="s">
        <v>149</v>
      </c>
      <c r="E57" s="11" t="s">
        <v>150</v>
      </c>
      <c r="F57" s="11" t="s">
        <v>37</v>
      </c>
      <c r="G57" s="11">
        <v>1</v>
      </c>
      <c r="H57" s="11">
        <v>5</v>
      </c>
      <c r="I57" s="7"/>
      <c r="J57" s="7"/>
    </row>
    <row r="58" spans="1:10" ht="27.6" x14ac:dyDescent="0.3">
      <c r="A58" s="11" t="s">
        <v>48</v>
      </c>
      <c r="B58" s="11" t="s">
        <v>141</v>
      </c>
      <c r="C58" s="11" t="s">
        <v>145</v>
      </c>
      <c r="D58" s="11" t="s">
        <v>151</v>
      </c>
      <c r="E58" s="11" t="s">
        <v>152</v>
      </c>
      <c r="F58" s="11" t="s">
        <v>37</v>
      </c>
      <c r="G58" s="11">
        <v>3</v>
      </c>
      <c r="H58" s="11">
        <v>4</v>
      </c>
      <c r="I58" s="7"/>
      <c r="J58" s="7"/>
    </row>
    <row r="59" spans="1:10" ht="27.6" x14ac:dyDescent="0.3">
      <c r="A59" s="11" t="s">
        <v>48</v>
      </c>
      <c r="B59" s="11" t="s">
        <v>141</v>
      </c>
      <c r="C59" s="11" t="s">
        <v>145</v>
      </c>
      <c r="D59" s="11" t="s">
        <v>153</v>
      </c>
      <c r="E59" s="11" t="s">
        <v>154</v>
      </c>
      <c r="F59" s="11" t="s">
        <v>37</v>
      </c>
      <c r="G59" s="11">
        <v>2</v>
      </c>
      <c r="H59" s="11">
        <v>4</v>
      </c>
      <c r="I59" s="7"/>
      <c r="J59" s="7"/>
    </row>
    <row r="60" spans="1:10" ht="27.6" x14ac:dyDescent="0.3">
      <c r="A60" s="11" t="s">
        <v>48</v>
      </c>
      <c r="B60" s="11" t="s">
        <v>141</v>
      </c>
      <c r="C60" s="11" t="s">
        <v>145</v>
      </c>
      <c r="D60" s="11" t="s">
        <v>155</v>
      </c>
      <c r="E60" s="11" t="s">
        <v>156</v>
      </c>
      <c r="F60" s="11" t="s">
        <v>37</v>
      </c>
      <c r="G60" s="11">
        <v>1</v>
      </c>
      <c r="H60" s="11">
        <v>2</v>
      </c>
      <c r="I60" s="7"/>
      <c r="J60" s="7"/>
    </row>
    <row r="61" spans="1:10" x14ac:dyDescent="0.3">
      <c r="A61" s="10" t="s">
        <v>45</v>
      </c>
      <c r="B61" s="10" t="s">
        <v>141</v>
      </c>
      <c r="C61" s="10" t="s">
        <v>157</v>
      </c>
      <c r="D61" s="10"/>
      <c r="E61" s="10" t="s">
        <v>158</v>
      </c>
      <c r="F61" s="10" t="s">
        <v>37</v>
      </c>
      <c r="G61" s="10">
        <v>2</v>
      </c>
      <c r="H61" s="10">
        <v>9</v>
      </c>
      <c r="I61" s="7"/>
      <c r="J61" s="7"/>
    </row>
    <row r="62" spans="1:10" ht="27.6" x14ac:dyDescent="0.3">
      <c r="A62" s="11" t="s">
        <v>48</v>
      </c>
      <c r="B62" s="11" t="s">
        <v>141</v>
      </c>
      <c r="C62" s="11" t="s">
        <v>157</v>
      </c>
      <c r="D62" s="11" t="s">
        <v>159</v>
      </c>
      <c r="E62" s="11" t="s">
        <v>160</v>
      </c>
      <c r="F62" s="11" t="s">
        <v>37</v>
      </c>
      <c r="G62" s="11">
        <v>1</v>
      </c>
      <c r="H62" s="11">
        <v>1</v>
      </c>
      <c r="I62" s="7"/>
      <c r="J62" s="7"/>
    </row>
    <row r="63" spans="1:10" x14ac:dyDescent="0.3">
      <c r="A63" s="10" t="s">
        <v>45</v>
      </c>
      <c r="B63" s="10" t="s">
        <v>141</v>
      </c>
      <c r="C63" s="10" t="s">
        <v>161</v>
      </c>
      <c r="D63" s="10"/>
      <c r="E63" s="10" t="s">
        <v>162</v>
      </c>
      <c r="F63" s="10" t="s">
        <v>37</v>
      </c>
      <c r="G63" s="10">
        <v>1</v>
      </c>
      <c r="H63" s="10">
        <v>1</v>
      </c>
      <c r="I63" s="7"/>
      <c r="J63" s="7"/>
    </row>
    <row r="64" spans="1:10" x14ac:dyDescent="0.3">
      <c r="A64" s="11" t="s">
        <v>48</v>
      </c>
      <c r="B64" s="11" t="s">
        <v>141</v>
      </c>
      <c r="C64" s="11" t="s">
        <v>161</v>
      </c>
      <c r="D64" s="11" t="s">
        <v>163</v>
      </c>
      <c r="E64" s="11" t="s">
        <v>164</v>
      </c>
      <c r="F64" s="11" t="s">
        <v>37</v>
      </c>
      <c r="G64" s="11">
        <v>0</v>
      </c>
      <c r="H64" s="11">
        <v>1</v>
      </c>
      <c r="I64" s="7"/>
      <c r="J64" s="7"/>
    </row>
    <row r="65" spans="1:10" ht="27.6" x14ac:dyDescent="0.3">
      <c r="A65" s="11" t="s">
        <v>48</v>
      </c>
      <c r="B65" s="11" t="s">
        <v>141</v>
      </c>
      <c r="C65" s="11" t="s">
        <v>161</v>
      </c>
      <c r="D65" s="11" t="s">
        <v>49</v>
      </c>
      <c r="E65" s="11" t="s">
        <v>165</v>
      </c>
      <c r="F65" s="11" t="s">
        <v>37</v>
      </c>
      <c r="G65" s="11">
        <v>1</v>
      </c>
      <c r="H65" s="11">
        <v>7</v>
      </c>
      <c r="I65" s="7"/>
      <c r="J65" s="7"/>
    </row>
    <row r="66" spans="1:10" ht="27.6" x14ac:dyDescent="0.3">
      <c r="A66" s="11" t="s">
        <v>48</v>
      </c>
      <c r="B66" s="11" t="s">
        <v>141</v>
      </c>
      <c r="C66" s="11" t="s">
        <v>161</v>
      </c>
      <c r="D66" s="11" t="s">
        <v>166</v>
      </c>
      <c r="E66" s="11" t="s">
        <v>167</v>
      </c>
      <c r="F66" s="11" t="s">
        <v>37</v>
      </c>
      <c r="G66" s="11">
        <v>1</v>
      </c>
      <c r="H66" s="11">
        <v>4</v>
      </c>
      <c r="I66" s="7"/>
      <c r="J66" s="7"/>
    </row>
    <row r="67" spans="1:10" x14ac:dyDescent="0.3">
      <c r="A67" s="10" t="s">
        <v>45</v>
      </c>
      <c r="B67" s="10" t="s">
        <v>141</v>
      </c>
      <c r="C67" s="10" t="s">
        <v>168</v>
      </c>
      <c r="D67" s="10"/>
      <c r="E67" s="10" t="s">
        <v>169</v>
      </c>
      <c r="F67" s="10" t="s">
        <v>37</v>
      </c>
      <c r="G67" s="10">
        <v>28</v>
      </c>
      <c r="H67" s="10">
        <v>34</v>
      </c>
      <c r="I67" s="7"/>
      <c r="J67" s="7"/>
    </row>
    <row r="68" spans="1:10" ht="27.6" x14ac:dyDescent="0.3">
      <c r="A68" s="11" t="s">
        <v>48</v>
      </c>
      <c r="B68" s="11" t="s">
        <v>141</v>
      </c>
      <c r="C68" s="11" t="s">
        <v>168</v>
      </c>
      <c r="D68" s="11" t="s">
        <v>170</v>
      </c>
      <c r="E68" s="11" t="s">
        <v>171</v>
      </c>
      <c r="F68" s="11" t="s">
        <v>37</v>
      </c>
      <c r="G68" s="11">
        <v>0</v>
      </c>
      <c r="H68" s="11">
        <v>3</v>
      </c>
      <c r="I68" s="7"/>
      <c r="J68" s="7"/>
    </row>
    <row r="69" spans="1:10" ht="27.6" x14ac:dyDescent="0.3">
      <c r="A69" s="11" t="s">
        <v>48</v>
      </c>
      <c r="B69" s="11" t="s">
        <v>141</v>
      </c>
      <c r="C69" s="11" t="s">
        <v>168</v>
      </c>
      <c r="D69" s="11" t="s">
        <v>172</v>
      </c>
      <c r="E69" s="11" t="s">
        <v>173</v>
      </c>
      <c r="F69" s="11" t="s">
        <v>37</v>
      </c>
      <c r="G69" s="11">
        <v>5</v>
      </c>
      <c r="H69" s="11">
        <v>7</v>
      </c>
      <c r="I69" s="7"/>
      <c r="J69" s="7"/>
    </row>
    <row r="70" spans="1:10" x14ac:dyDescent="0.3">
      <c r="A70" s="8" t="s">
        <v>38</v>
      </c>
      <c r="B70" s="9" t="s">
        <v>174</v>
      </c>
      <c r="C70" s="8"/>
      <c r="D70" s="8"/>
      <c r="E70" s="8" t="s">
        <v>175</v>
      </c>
      <c r="F70" s="8" t="s">
        <v>37</v>
      </c>
      <c r="G70" s="8">
        <v>1</v>
      </c>
      <c r="H70" s="8">
        <v>1</v>
      </c>
      <c r="I70" s="7"/>
      <c r="J70" s="7"/>
    </row>
    <row r="71" spans="1:10" x14ac:dyDescent="0.3">
      <c r="A71" s="10" t="s">
        <v>45</v>
      </c>
      <c r="B71" s="10" t="s">
        <v>174</v>
      </c>
      <c r="C71" s="10" t="s">
        <v>176</v>
      </c>
      <c r="D71" s="10"/>
      <c r="E71" s="10" t="s">
        <v>177</v>
      </c>
      <c r="F71" s="10" t="s">
        <v>37</v>
      </c>
      <c r="G71" s="10">
        <v>0</v>
      </c>
      <c r="H71" s="10">
        <v>1</v>
      </c>
      <c r="I71" s="7"/>
      <c r="J71" s="7"/>
    </row>
    <row r="72" spans="1:10" x14ac:dyDescent="0.3">
      <c r="A72" s="10" t="s">
        <v>45</v>
      </c>
      <c r="B72" s="10" t="s">
        <v>174</v>
      </c>
      <c r="C72" s="10" t="s">
        <v>178</v>
      </c>
      <c r="D72" s="10"/>
      <c r="E72" s="10" t="s">
        <v>179</v>
      </c>
      <c r="F72" s="10" t="s">
        <v>37</v>
      </c>
      <c r="G72" s="10">
        <v>18</v>
      </c>
      <c r="H72" s="10">
        <v>31</v>
      </c>
      <c r="I72" s="7"/>
      <c r="J72" s="7"/>
    </row>
    <row r="73" spans="1:10" x14ac:dyDescent="0.3">
      <c r="A73" s="10" t="s">
        <v>45</v>
      </c>
      <c r="B73" s="10" t="s">
        <v>174</v>
      </c>
      <c r="C73" s="10" t="s">
        <v>180</v>
      </c>
      <c r="D73" s="10"/>
      <c r="E73" s="10" t="s">
        <v>181</v>
      </c>
      <c r="F73" s="10" t="s">
        <v>37</v>
      </c>
      <c r="G73" s="10">
        <v>16</v>
      </c>
      <c r="H73" s="10">
        <v>25</v>
      </c>
      <c r="I73" s="7"/>
      <c r="J73" s="7"/>
    </row>
    <row r="74" spans="1:10" x14ac:dyDescent="0.3">
      <c r="A74" s="10" t="s">
        <v>45</v>
      </c>
      <c r="B74" s="10" t="s">
        <v>174</v>
      </c>
      <c r="C74" s="10" t="s">
        <v>182</v>
      </c>
      <c r="D74" s="10"/>
      <c r="E74" s="10" t="s">
        <v>183</v>
      </c>
      <c r="F74" s="10" t="s">
        <v>37</v>
      </c>
      <c r="G74" s="10">
        <v>0</v>
      </c>
      <c r="H74" s="10">
        <v>2</v>
      </c>
      <c r="I74" s="7"/>
      <c r="J74" s="7"/>
    </row>
    <row r="75" spans="1:10" x14ac:dyDescent="0.3">
      <c r="A75" s="10" t="s">
        <v>45</v>
      </c>
      <c r="B75" s="10" t="s">
        <v>174</v>
      </c>
      <c r="C75" s="10" t="s">
        <v>184</v>
      </c>
      <c r="D75" s="10"/>
      <c r="E75" s="10" t="s">
        <v>185</v>
      </c>
      <c r="F75" s="10" t="s">
        <v>37</v>
      </c>
      <c r="G75" s="10">
        <v>3</v>
      </c>
      <c r="H75" s="10">
        <v>8</v>
      </c>
      <c r="I75" s="7"/>
      <c r="J75" s="7"/>
    </row>
    <row r="76" spans="1:10" x14ac:dyDescent="0.3">
      <c r="A76" s="10" t="s">
        <v>45</v>
      </c>
      <c r="B76" s="10" t="s">
        <v>174</v>
      </c>
      <c r="C76" s="10" t="s">
        <v>186</v>
      </c>
      <c r="D76" s="10"/>
      <c r="E76" s="10" t="s">
        <v>187</v>
      </c>
      <c r="F76" s="10" t="s">
        <v>37</v>
      </c>
      <c r="G76" s="10">
        <v>1</v>
      </c>
      <c r="H76" s="10">
        <v>4</v>
      </c>
      <c r="I76" s="7"/>
      <c r="J76" s="7"/>
    </row>
    <row r="77" spans="1:10" x14ac:dyDescent="0.3">
      <c r="A77" s="10" t="s">
        <v>45</v>
      </c>
      <c r="B77" s="10" t="s">
        <v>174</v>
      </c>
      <c r="C77" s="10" t="s">
        <v>188</v>
      </c>
      <c r="D77" s="10"/>
      <c r="E77" s="10" t="s">
        <v>189</v>
      </c>
      <c r="F77" s="10" t="s">
        <v>37</v>
      </c>
      <c r="G77" s="10">
        <v>0</v>
      </c>
      <c r="H77" s="10">
        <v>1</v>
      </c>
      <c r="I77" s="7"/>
      <c r="J77" s="7"/>
    </row>
    <row r="78" spans="1:10" x14ac:dyDescent="0.3">
      <c r="A78" s="10" t="s">
        <v>45</v>
      </c>
      <c r="B78" s="10" t="s">
        <v>174</v>
      </c>
      <c r="C78" s="10" t="s">
        <v>190</v>
      </c>
      <c r="D78" s="10"/>
      <c r="E78" s="10" t="s">
        <v>191</v>
      </c>
      <c r="F78" s="10" t="s">
        <v>37</v>
      </c>
      <c r="G78" s="10">
        <v>0</v>
      </c>
      <c r="H78" s="10">
        <v>1</v>
      </c>
      <c r="I78" s="7"/>
      <c r="J78" s="7"/>
    </row>
    <row r="79" spans="1:10" x14ac:dyDescent="0.3">
      <c r="A79" s="10" t="s">
        <v>45</v>
      </c>
      <c r="B79" s="10" t="s">
        <v>174</v>
      </c>
      <c r="C79" s="10" t="s">
        <v>192</v>
      </c>
      <c r="D79" s="10"/>
      <c r="E79" s="10" t="s">
        <v>193</v>
      </c>
      <c r="F79" s="10" t="s">
        <v>37</v>
      </c>
      <c r="G79" s="10">
        <v>0</v>
      </c>
      <c r="H79" s="10">
        <v>1</v>
      </c>
      <c r="I79" s="7"/>
      <c r="J79" s="7"/>
    </row>
    <row r="80" spans="1:10" x14ac:dyDescent="0.3">
      <c r="A80" s="10" t="s">
        <v>45</v>
      </c>
      <c r="B80" s="10" t="s">
        <v>174</v>
      </c>
      <c r="C80" s="10" t="s">
        <v>194</v>
      </c>
      <c r="D80" s="10"/>
      <c r="E80" s="10" t="s">
        <v>195</v>
      </c>
      <c r="F80" s="10" t="s">
        <v>37</v>
      </c>
      <c r="G80" s="10">
        <v>0</v>
      </c>
      <c r="H80" s="10">
        <v>1</v>
      </c>
      <c r="I80" s="7"/>
      <c r="J80" s="7"/>
    </row>
    <row r="81" spans="1:10" x14ac:dyDescent="0.3">
      <c r="A81" s="10" t="s">
        <v>45</v>
      </c>
      <c r="B81" s="10" t="s">
        <v>174</v>
      </c>
      <c r="C81" s="10" t="s">
        <v>196</v>
      </c>
      <c r="D81" s="10"/>
      <c r="E81" s="10" t="s">
        <v>197</v>
      </c>
      <c r="F81" s="10" t="s">
        <v>37</v>
      </c>
      <c r="G81" s="10">
        <v>0</v>
      </c>
      <c r="H81" s="10">
        <v>1</v>
      </c>
      <c r="I81" s="7"/>
      <c r="J81" s="7"/>
    </row>
    <row r="82" spans="1:10" x14ac:dyDescent="0.3">
      <c r="A82" s="10" t="s">
        <v>45</v>
      </c>
      <c r="B82" s="10" t="s">
        <v>174</v>
      </c>
      <c r="C82" s="10" t="s">
        <v>198</v>
      </c>
      <c r="D82" s="10"/>
      <c r="E82" s="10" t="s">
        <v>199</v>
      </c>
      <c r="F82" s="10" t="s">
        <v>37</v>
      </c>
      <c r="G82" s="10">
        <v>0</v>
      </c>
      <c r="H82" s="10">
        <v>1</v>
      </c>
      <c r="I82" s="7"/>
      <c r="J82" s="7"/>
    </row>
    <row r="83" spans="1:10" ht="27.6" x14ac:dyDescent="0.3">
      <c r="A83" s="11" t="s">
        <v>48</v>
      </c>
      <c r="B83" s="11" t="s">
        <v>174</v>
      </c>
      <c r="C83" s="11" t="s">
        <v>198</v>
      </c>
      <c r="D83" s="11" t="s">
        <v>200</v>
      </c>
      <c r="E83" s="11" t="s">
        <v>201</v>
      </c>
      <c r="F83" s="11" t="s">
        <v>37</v>
      </c>
      <c r="G83" s="11">
        <v>1</v>
      </c>
      <c r="H83" s="11">
        <v>2</v>
      </c>
      <c r="I83" s="7"/>
      <c r="J83" s="7"/>
    </row>
    <row r="84" spans="1:10" ht="27.6" x14ac:dyDescent="0.3">
      <c r="A84" s="11" t="s">
        <v>48</v>
      </c>
      <c r="B84" s="11" t="s">
        <v>174</v>
      </c>
      <c r="C84" s="11" t="s">
        <v>198</v>
      </c>
      <c r="D84" s="11" t="s">
        <v>202</v>
      </c>
      <c r="E84" s="11" t="s">
        <v>203</v>
      </c>
      <c r="F84" s="11" t="s">
        <v>37</v>
      </c>
      <c r="G84" s="11">
        <v>1</v>
      </c>
      <c r="H84" s="11">
        <v>2</v>
      </c>
      <c r="I84" s="7"/>
      <c r="J84" s="7"/>
    </row>
    <row r="85" spans="1:10" ht="27.6" x14ac:dyDescent="0.3">
      <c r="A85" s="11" t="s">
        <v>48</v>
      </c>
      <c r="B85" s="11" t="s">
        <v>174</v>
      </c>
      <c r="C85" s="11" t="s">
        <v>198</v>
      </c>
      <c r="D85" s="11" t="s">
        <v>204</v>
      </c>
      <c r="E85" s="11" t="s">
        <v>205</v>
      </c>
      <c r="F85" s="11" t="s">
        <v>37</v>
      </c>
      <c r="G85" s="11">
        <v>0</v>
      </c>
      <c r="H85" s="11">
        <v>3</v>
      </c>
      <c r="I85" s="7"/>
      <c r="J85" s="7"/>
    </row>
    <row r="86" spans="1:10" x14ac:dyDescent="0.3">
      <c r="A86" s="10" t="s">
        <v>45</v>
      </c>
      <c r="B86" s="10" t="s">
        <v>174</v>
      </c>
      <c r="C86" s="10" t="s">
        <v>206</v>
      </c>
      <c r="D86" s="10"/>
      <c r="E86" s="10" t="s">
        <v>207</v>
      </c>
      <c r="F86" s="10" t="s">
        <v>37</v>
      </c>
      <c r="G86" s="10">
        <v>1</v>
      </c>
      <c r="H86" s="10">
        <v>1</v>
      </c>
      <c r="I86" s="7"/>
      <c r="J86" s="7"/>
    </row>
    <row r="87" spans="1:10" x14ac:dyDescent="0.3">
      <c r="A87" s="11" t="s">
        <v>48</v>
      </c>
      <c r="B87" s="11" t="s">
        <v>174</v>
      </c>
      <c r="C87" s="11" t="s">
        <v>206</v>
      </c>
      <c r="D87" s="11" t="s">
        <v>163</v>
      </c>
      <c r="E87" s="11" t="s">
        <v>208</v>
      </c>
      <c r="F87" s="11" t="s">
        <v>37</v>
      </c>
      <c r="G87" s="11">
        <v>1</v>
      </c>
      <c r="H87" s="11">
        <v>4</v>
      </c>
      <c r="I87" s="7"/>
      <c r="J87" s="7"/>
    </row>
    <row r="88" spans="1:10" ht="27.6" x14ac:dyDescent="0.3">
      <c r="A88" s="11" t="s">
        <v>48</v>
      </c>
      <c r="B88" s="11" t="s">
        <v>174</v>
      </c>
      <c r="C88" s="11" t="s">
        <v>206</v>
      </c>
      <c r="D88" s="11" t="s">
        <v>49</v>
      </c>
      <c r="E88" s="11" t="s">
        <v>209</v>
      </c>
      <c r="F88" s="11" t="s">
        <v>37</v>
      </c>
      <c r="G88" s="11">
        <v>2</v>
      </c>
      <c r="H88" s="11">
        <v>2</v>
      </c>
      <c r="I88" s="7"/>
      <c r="J88" s="7"/>
    </row>
    <row r="89" spans="1:10" x14ac:dyDescent="0.3">
      <c r="A89" s="10" t="s">
        <v>45</v>
      </c>
      <c r="B89" s="10" t="s">
        <v>174</v>
      </c>
      <c r="C89" s="10" t="s">
        <v>210</v>
      </c>
      <c r="D89" s="10"/>
      <c r="E89" s="10" t="s">
        <v>211</v>
      </c>
      <c r="F89" s="10" t="s">
        <v>37</v>
      </c>
      <c r="G89" s="10">
        <v>2</v>
      </c>
      <c r="H89" s="10">
        <v>2</v>
      </c>
      <c r="I89" s="7"/>
      <c r="J89" s="7"/>
    </row>
    <row r="90" spans="1:10" x14ac:dyDescent="0.3">
      <c r="A90" s="10" t="s">
        <v>45</v>
      </c>
      <c r="B90" s="10" t="s">
        <v>174</v>
      </c>
      <c r="C90" s="10" t="s">
        <v>212</v>
      </c>
      <c r="D90" s="10"/>
      <c r="E90" s="10" t="s">
        <v>213</v>
      </c>
      <c r="F90" s="10" t="s">
        <v>37</v>
      </c>
      <c r="G90" s="10">
        <v>0</v>
      </c>
      <c r="H90" s="10">
        <v>1</v>
      </c>
      <c r="I90" s="7"/>
      <c r="J90" s="7"/>
    </row>
    <row r="91" spans="1:10" x14ac:dyDescent="0.3">
      <c r="A91" s="8" t="s">
        <v>38</v>
      </c>
      <c r="B91" s="9" t="s">
        <v>214</v>
      </c>
      <c r="C91" s="8"/>
      <c r="D91" s="8"/>
      <c r="E91" s="8" t="s">
        <v>215</v>
      </c>
      <c r="F91" s="8" t="s">
        <v>37</v>
      </c>
      <c r="G91" s="8">
        <v>1</v>
      </c>
      <c r="H91" s="8">
        <v>1</v>
      </c>
      <c r="I91" s="7"/>
      <c r="J91" s="7"/>
    </row>
    <row r="92" spans="1:10" x14ac:dyDescent="0.3">
      <c r="A92" s="10" t="s">
        <v>45</v>
      </c>
      <c r="B92" s="10" t="s">
        <v>214</v>
      </c>
      <c r="C92" s="10" t="s">
        <v>216</v>
      </c>
      <c r="D92" s="10"/>
      <c r="E92" s="10" t="s">
        <v>217</v>
      </c>
      <c r="F92" s="10" t="s">
        <v>37</v>
      </c>
      <c r="G92" s="10">
        <v>1</v>
      </c>
      <c r="H92" s="10">
        <v>4</v>
      </c>
      <c r="I92" s="7"/>
      <c r="J92" s="7"/>
    </row>
    <row r="93" spans="1:10" x14ac:dyDescent="0.3">
      <c r="A93" s="10" t="s">
        <v>45</v>
      </c>
      <c r="B93" s="10" t="s">
        <v>214</v>
      </c>
      <c r="C93" s="10" t="s">
        <v>218</v>
      </c>
      <c r="D93" s="10"/>
      <c r="E93" s="10" t="s">
        <v>219</v>
      </c>
      <c r="F93" s="10" t="s">
        <v>37</v>
      </c>
      <c r="G93" s="10">
        <v>2</v>
      </c>
      <c r="H93" s="10">
        <v>3</v>
      </c>
      <c r="I93" s="7"/>
      <c r="J93" s="7"/>
    </row>
    <row r="94" spans="1:10" ht="27.6" x14ac:dyDescent="0.3">
      <c r="A94" s="11" t="s">
        <v>48</v>
      </c>
      <c r="B94" s="11" t="s">
        <v>214</v>
      </c>
      <c r="C94" s="11" t="s">
        <v>218</v>
      </c>
      <c r="D94" s="11" t="s">
        <v>220</v>
      </c>
      <c r="E94" s="11" t="s">
        <v>221</v>
      </c>
      <c r="F94" s="11" t="s">
        <v>37</v>
      </c>
      <c r="G94" s="11">
        <v>6</v>
      </c>
      <c r="H94" s="11">
        <v>8</v>
      </c>
      <c r="I94" s="7"/>
      <c r="J94" s="7"/>
    </row>
    <row r="95" spans="1:10" ht="27.6" x14ac:dyDescent="0.3">
      <c r="A95" s="11" t="s">
        <v>48</v>
      </c>
      <c r="B95" s="11" t="s">
        <v>214</v>
      </c>
      <c r="C95" s="11" t="s">
        <v>218</v>
      </c>
      <c r="D95" s="11" t="s">
        <v>222</v>
      </c>
      <c r="E95" s="11" t="s">
        <v>223</v>
      </c>
      <c r="F95" s="11" t="s">
        <v>37</v>
      </c>
      <c r="G95" s="11">
        <v>3</v>
      </c>
      <c r="H95" s="11">
        <v>4</v>
      </c>
      <c r="I95" s="7"/>
      <c r="J95" s="7"/>
    </row>
    <row r="96" spans="1:10" ht="27.6" x14ac:dyDescent="0.3">
      <c r="A96" s="11" t="s">
        <v>48</v>
      </c>
      <c r="B96" s="11" t="s">
        <v>214</v>
      </c>
      <c r="C96" s="11" t="s">
        <v>218</v>
      </c>
      <c r="D96" s="11" t="s">
        <v>224</v>
      </c>
      <c r="E96" s="11" t="s">
        <v>225</v>
      </c>
      <c r="F96" s="11" t="s">
        <v>37</v>
      </c>
      <c r="G96" s="11">
        <v>1</v>
      </c>
      <c r="H96" s="11">
        <v>3</v>
      </c>
      <c r="I96" s="7"/>
      <c r="J96" s="7"/>
    </row>
    <row r="97" spans="1:10" ht="27.6" x14ac:dyDescent="0.3">
      <c r="A97" s="11" t="s">
        <v>48</v>
      </c>
      <c r="B97" s="11" t="s">
        <v>214</v>
      </c>
      <c r="C97" s="11" t="s">
        <v>218</v>
      </c>
      <c r="D97" s="11" t="s">
        <v>226</v>
      </c>
      <c r="E97" s="11" t="s">
        <v>227</v>
      </c>
      <c r="F97" s="11" t="s">
        <v>37</v>
      </c>
      <c r="G97" s="11">
        <v>1</v>
      </c>
      <c r="H97" s="11">
        <v>3</v>
      </c>
      <c r="I97" s="7"/>
      <c r="J97" s="7"/>
    </row>
    <row r="98" spans="1:10" ht="27.6" x14ac:dyDescent="0.3">
      <c r="A98" s="11" t="s">
        <v>48</v>
      </c>
      <c r="B98" s="11" t="s">
        <v>214</v>
      </c>
      <c r="C98" s="11" t="s">
        <v>218</v>
      </c>
      <c r="D98" s="11" t="s">
        <v>228</v>
      </c>
      <c r="E98" s="11" t="s">
        <v>229</v>
      </c>
      <c r="F98" s="11" t="s">
        <v>37</v>
      </c>
      <c r="G98" s="11">
        <v>2</v>
      </c>
      <c r="H98" s="11">
        <v>4</v>
      </c>
      <c r="I98" s="7"/>
      <c r="J98" s="7"/>
    </row>
    <row r="99" spans="1:10" ht="27.6" x14ac:dyDescent="0.3">
      <c r="A99" s="11" t="s">
        <v>48</v>
      </c>
      <c r="B99" s="11" t="s">
        <v>214</v>
      </c>
      <c r="C99" s="11" t="s">
        <v>218</v>
      </c>
      <c r="D99" s="11" t="s">
        <v>230</v>
      </c>
      <c r="E99" s="11" t="s">
        <v>231</v>
      </c>
      <c r="F99" s="11" t="s">
        <v>37</v>
      </c>
      <c r="G99" s="11">
        <v>1</v>
      </c>
      <c r="H99" s="11">
        <v>3</v>
      </c>
      <c r="I99" s="7"/>
      <c r="J99" s="7"/>
    </row>
    <row r="100" spans="1:10" ht="27.6" x14ac:dyDescent="0.3">
      <c r="A100" s="11" t="s">
        <v>48</v>
      </c>
      <c r="B100" s="11" t="s">
        <v>214</v>
      </c>
      <c r="C100" s="11" t="s">
        <v>218</v>
      </c>
      <c r="D100" s="11" t="s">
        <v>232</v>
      </c>
      <c r="E100" s="11" t="s">
        <v>233</v>
      </c>
      <c r="F100" s="11" t="s">
        <v>37</v>
      </c>
      <c r="G100" s="11">
        <v>2</v>
      </c>
      <c r="H100" s="11">
        <v>4</v>
      </c>
      <c r="I100" s="7"/>
      <c r="J100" s="7"/>
    </row>
    <row r="101" spans="1:10" ht="27.6" x14ac:dyDescent="0.3">
      <c r="A101" s="11" t="s">
        <v>48</v>
      </c>
      <c r="B101" s="11" t="s">
        <v>214</v>
      </c>
      <c r="C101" s="11" t="s">
        <v>218</v>
      </c>
      <c r="D101" s="11" t="s">
        <v>234</v>
      </c>
      <c r="E101" s="11" t="s">
        <v>235</v>
      </c>
      <c r="F101" s="11" t="s">
        <v>37</v>
      </c>
      <c r="G101" s="11">
        <v>0</v>
      </c>
      <c r="H101" s="11">
        <v>3</v>
      </c>
      <c r="I101" s="7"/>
      <c r="J101" s="7"/>
    </row>
    <row r="102" spans="1:10" x14ac:dyDescent="0.3">
      <c r="A102" s="10" t="s">
        <v>45</v>
      </c>
      <c r="B102" s="10" t="s">
        <v>214</v>
      </c>
      <c r="C102" s="10" t="s">
        <v>236</v>
      </c>
      <c r="D102" s="10"/>
      <c r="E102" s="10" t="s">
        <v>237</v>
      </c>
      <c r="F102" s="10" t="s">
        <v>37</v>
      </c>
      <c r="G102" s="10">
        <v>1</v>
      </c>
      <c r="H102" s="10">
        <v>1</v>
      </c>
      <c r="I102" s="7"/>
      <c r="J102" s="7"/>
    </row>
    <row r="103" spans="1:10" x14ac:dyDescent="0.3">
      <c r="A103" s="11" t="s">
        <v>48</v>
      </c>
      <c r="B103" s="11" t="s">
        <v>214</v>
      </c>
      <c r="C103" s="11" t="s">
        <v>236</v>
      </c>
      <c r="D103" s="11" t="s">
        <v>163</v>
      </c>
      <c r="E103" s="11" t="s">
        <v>238</v>
      </c>
      <c r="F103" s="11" t="s">
        <v>37</v>
      </c>
      <c r="G103" s="11">
        <v>4</v>
      </c>
      <c r="H103" s="11">
        <v>6</v>
      </c>
      <c r="I103" s="7"/>
      <c r="J103" s="7"/>
    </row>
    <row r="104" spans="1:10" ht="27.6" x14ac:dyDescent="0.3">
      <c r="A104" s="11" t="s">
        <v>48</v>
      </c>
      <c r="B104" s="11" t="s">
        <v>214</v>
      </c>
      <c r="C104" s="11" t="s">
        <v>236</v>
      </c>
      <c r="D104" s="11" t="s">
        <v>49</v>
      </c>
      <c r="E104" s="11" t="s">
        <v>239</v>
      </c>
      <c r="F104" s="11" t="s">
        <v>37</v>
      </c>
      <c r="G104" s="11">
        <v>1</v>
      </c>
      <c r="H104" s="11">
        <v>2</v>
      </c>
      <c r="I104" s="7"/>
      <c r="J104" s="7"/>
    </row>
    <row r="105" spans="1:10" x14ac:dyDescent="0.3">
      <c r="A105" s="10" t="s">
        <v>45</v>
      </c>
      <c r="B105" s="10" t="s">
        <v>214</v>
      </c>
      <c r="C105" s="10" t="s">
        <v>240</v>
      </c>
      <c r="D105" s="10"/>
      <c r="E105" s="10" t="s">
        <v>241</v>
      </c>
      <c r="F105" s="10" t="s">
        <v>37</v>
      </c>
      <c r="G105" s="10">
        <v>51</v>
      </c>
      <c r="H105" s="10">
        <v>74</v>
      </c>
      <c r="I105" s="7"/>
      <c r="J105" s="7"/>
    </row>
    <row r="106" spans="1:10" x14ac:dyDescent="0.3">
      <c r="A106" s="8" t="s">
        <v>38</v>
      </c>
      <c r="B106" s="9" t="s">
        <v>242</v>
      </c>
      <c r="C106" s="8"/>
      <c r="D106" s="8"/>
      <c r="E106" s="8" t="s">
        <v>243</v>
      </c>
      <c r="F106" s="8" t="s">
        <v>37</v>
      </c>
      <c r="G106" s="8">
        <v>1</v>
      </c>
      <c r="H106" s="8">
        <v>1</v>
      </c>
      <c r="I106" s="7"/>
      <c r="J106" s="7"/>
    </row>
    <row r="107" spans="1:10" x14ac:dyDescent="0.3">
      <c r="A107" s="10" t="s">
        <v>45</v>
      </c>
      <c r="B107" s="10" t="s">
        <v>242</v>
      </c>
      <c r="C107" s="10" t="s">
        <v>244</v>
      </c>
      <c r="D107" s="10"/>
      <c r="E107" s="10" t="s">
        <v>245</v>
      </c>
      <c r="F107" s="10" t="s">
        <v>37</v>
      </c>
      <c r="G107" s="10">
        <v>0</v>
      </c>
      <c r="H107" s="10">
        <v>0</v>
      </c>
      <c r="I107" s="7"/>
      <c r="J107" s="7"/>
    </row>
    <row r="108" spans="1:10" ht="27.6" x14ac:dyDescent="0.3">
      <c r="A108" s="11" t="s">
        <v>48</v>
      </c>
      <c r="B108" s="11" t="s">
        <v>242</v>
      </c>
      <c r="C108" s="11" t="s">
        <v>244</v>
      </c>
      <c r="D108" s="11" t="s">
        <v>246</v>
      </c>
      <c r="E108" s="11" t="s">
        <v>247</v>
      </c>
      <c r="F108" s="11" t="s">
        <v>37</v>
      </c>
      <c r="G108" s="11">
        <v>0</v>
      </c>
      <c r="H108" s="11">
        <v>0</v>
      </c>
      <c r="I108" s="7"/>
      <c r="J108" s="7"/>
    </row>
    <row r="109" spans="1:10" x14ac:dyDescent="0.3">
      <c r="A109" s="11" t="s">
        <v>48</v>
      </c>
      <c r="B109" s="11" t="s">
        <v>242</v>
      </c>
      <c r="C109" s="11" t="s">
        <v>244</v>
      </c>
      <c r="D109" s="11" t="s">
        <v>248</v>
      </c>
      <c r="E109" s="11" t="s">
        <v>249</v>
      </c>
      <c r="F109" s="11" t="s">
        <v>37</v>
      </c>
      <c r="G109" s="11">
        <v>0</v>
      </c>
      <c r="H109" s="11">
        <v>0</v>
      </c>
      <c r="I109" s="7"/>
      <c r="J109" s="7"/>
    </row>
    <row r="110" spans="1:10" ht="27.6" x14ac:dyDescent="0.3">
      <c r="A110" s="11" t="s">
        <v>48</v>
      </c>
      <c r="B110" s="11" t="s">
        <v>242</v>
      </c>
      <c r="C110" s="11" t="s">
        <v>244</v>
      </c>
      <c r="D110" s="11" t="s">
        <v>250</v>
      </c>
      <c r="E110" s="11" t="s">
        <v>251</v>
      </c>
      <c r="F110" s="11" t="s">
        <v>252</v>
      </c>
      <c r="G110" s="11">
        <v>0</v>
      </c>
      <c r="H110" s="11">
        <v>0</v>
      </c>
      <c r="I110" s="7"/>
      <c r="J110" s="7"/>
    </row>
    <row r="111" spans="1:10" x14ac:dyDescent="0.3">
      <c r="A111" s="10" t="s">
        <v>45</v>
      </c>
      <c r="B111" s="10" t="s">
        <v>242</v>
      </c>
      <c r="C111" s="10" t="s">
        <v>253</v>
      </c>
      <c r="D111" s="10"/>
      <c r="E111" s="10" t="s">
        <v>254</v>
      </c>
      <c r="F111" s="10" t="s">
        <v>37</v>
      </c>
      <c r="G111" s="10">
        <v>0</v>
      </c>
      <c r="H111" s="10">
        <v>0</v>
      </c>
      <c r="I111" s="7"/>
      <c r="J111" s="7"/>
    </row>
    <row r="112" spans="1:10" ht="27.6" x14ac:dyDescent="0.3">
      <c r="A112" s="11" t="s">
        <v>48</v>
      </c>
      <c r="B112" s="11" t="s">
        <v>242</v>
      </c>
      <c r="C112" s="11" t="s">
        <v>253</v>
      </c>
      <c r="D112" s="11" t="s">
        <v>255</v>
      </c>
      <c r="E112" s="11" t="s">
        <v>256</v>
      </c>
      <c r="F112" s="11" t="s">
        <v>37</v>
      </c>
      <c r="G112" s="11">
        <v>1</v>
      </c>
      <c r="H112" s="11">
        <v>3</v>
      </c>
      <c r="I112" s="7"/>
      <c r="J112" s="7"/>
    </row>
    <row r="113" spans="1:10" x14ac:dyDescent="0.3">
      <c r="A113" s="11" t="s">
        <v>48</v>
      </c>
      <c r="B113" s="11" t="s">
        <v>242</v>
      </c>
      <c r="C113" s="11" t="s">
        <v>253</v>
      </c>
      <c r="D113" s="11" t="s">
        <v>257</v>
      </c>
      <c r="E113" s="11" t="s">
        <v>258</v>
      </c>
      <c r="F113" s="11" t="s">
        <v>37</v>
      </c>
      <c r="G113" s="11">
        <v>2</v>
      </c>
      <c r="H113" s="11">
        <v>7</v>
      </c>
      <c r="I113" s="7"/>
      <c r="J113" s="7"/>
    </row>
    <row r="114" spans="1:10" x14ac:dyDescent="0.3">
      <c r="A114" s="11" t="s">
        <v>48</v>
      </c>
      <c r="B114" s="11" t="s">
        <v>242</v>
      </c>
      <c r="C114" s="11" t="s">
        <v>253</v>
      </c>
      <c r="D114" s="11" t="s">
        <v>259</v>
      </c>
      <c r="E114" s="11" t="s">
        <v>260</v>
      </c>
      <c r="F114" s="11" t="s">
        <v>37</v>
      </c>
      <c r="G114" s="11">
        <v>2</v>
      </c>
      <c r="H114" s="11">
        <v>2</v>
      </c>
      <c r="I114" s="7"/>
      <c r="J114" s="7"/>
    </row>
    <row r="115" spans="1:10" x14ac:dyDescent="0.3">
      <c r="A115" s="8" t="s">
        <v>38</v>
      </c>
      <c r="B115" s="9" t="s">
        <v>261</v>
      </c>
      <c r="C115" s="8"/>
      <c r="D115" s="8"/>
      <c r="E115" s="8" t="s">
        <v>262</v>
      </c>
      <c r="F115" s="8" t="s">
        <v>37</v>
      </c>
      <c r="G115" s="8">
        <v>0</v>
      </c>
      <c r="H115" s="8">
        <v>1</v>
      </c>
      <c r="I115" s="7"/>
      <c r="J115" s="7"/>
    </row>
    <row r="116" spans="1:10" x14ac:dyDescent="0.3">
      <c r="A116" s="10" t="s">
        <v>45</v>
      </c>
      <c r="B116" s="10" t="s">
        <v>261</v>
      </c>
      <c r="C116" s="10" t="s">
        <v>263</v>
      </c>
      <c r="D116" s="10"/>
      <c r="E116" s="10" t="s">
        <v>264</v>
      </c>
      <c r="F116" s="10" t="s">
        <v>37</v>
      </c>
      <c r="G116" s="10">
        <v>0</v>
      </c>
      <c r="H116" s="10">
        <v>1</v>
      </c>
      <c r="I116" s="7"/>
      <c r="J116" s="7"/>
    </row>
    <row r="117" spans="1:10" ht="27.6" x14ac:dyDescent="0.3">
      <c r="A117" s="11" t="s">
        <v>48</v>
      </c>
      <c r="B117" s="11" t="s">
        <v>261</v>
      </c>
      <c r="C117" s="11" t="s">
        <v>263</v>
      </c>
      <c r="D117" s="11" t="s">
        <v>107</v>
      </c>
      <c r="E117" s="11" t="s">
        <v>265</v>
      </c>
      <c r="F117" s="11" t="s">
        <v>37</v>
      </c>
      <c r="G117" s="11">
        <v>0</v>
      </c>
      <c r="H117" s="11">
        <v>2</v>
      </c>
      <c r="I117" s="7"/>
      <c r="J117" s="7"/>
    </row>
    <row r="118" spans="1:10" ht="27.6" x14ac:dyDescent="0.3">
      <c r="A118" s="11" t="s">
        <v>48</v>
      </c>
      <c r="B118" s="11" t="s">
        <v>261</v>
      </c>
      <c r="C118" s="11" t="s">
        <v>263</v>
      </c>
      <c r="D118" s="11" t="s">
        <v>266</v>
      </c>
      <c r="E118" s="11" t="s">
        <v>267</v>
      </c>
      <c r="F118" s="11" t="s">
        <v>37</v>
      </c>
      <c r="G118" s="11">
        <v>0</v>
      </c>
      <c r="H118" s="11">
        <v>1</v>
      </c>
      <c r="I118" s="7"/>
      <c r="J118" s="7"/>
    </row>
    <row r="119" spans="1:10" x14ac:dyDescent="0.3">
      <c r="A119" s="10" t="s">
        <v>45</v>
      </c>
      <c r="B119" s="10" t="s">
        <v>261</v>
      </c>
      <c r="C119" s="10" t="s">
        <v>268</v>
      </c>
      <c r="D119" s="10"/>
      <c r="E119" s="10" t="s">
        <v>269</v>
      </c>
      <c r="F119" s="10" t="s">
        <v>37</v>
      </c>
      <c r="G119" s="10">
        <v>0</v>
      </c>
      <c r="H119" s="10">
        <v>3</v>
      </c>
      <c r="I119" s="7"/>
      <c r="J119" s="7"/>
    </row>
    <row r="120" spans="1:10" x14ac:dyDescent="0.3">
      <c r="A120" s="10" t="s">
        <v>45</v>
      </c>
      <c r="B120" s="10" t="s">
        <v>261</v>
      </c>
      <c r="C120" s="10" t="s">
        <v>270</v>
      </c>
      <c r="D120" s="10"/>
      <c r="E120" s="10" t="s">
        <v>271</v>
      </c>
      <c r="F120" s="10" t="s">
        <v>37</v>
      </c>
      <c r="G120" s="10">
        <v>0</v>
      </c>
      <c r="H120" s="10">
        <v>3</v>
      </c>
      <c r="I120" s="7"/>
      <c r="J120" s="7"/>
    </row>
  </sheetData>
  <autoFilter ref="A1:J120"/>
  <dataValidations count="1">
    <dataValidation type="list" allowBlank="1" sqref="I2:I120">
      <formula1>"صحيح,يُعدَّل الاسم,يُنقل,يُحذف"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16" customWidth="1"/>
    <col min="3" max="4" width="30" customWidth="1"/>
    <col min="5" max="5" width="26" customWidth="1"/>
    <col min="6" max="7" width="11" customWidth="1"/>
    <col min="8" max="8" width="12" customWidth="1"/>
    <col min="9" max="9" width="55" customWidth="1"/>
    <col min="10" max="10" width="20" customWidth="1"/>
    <col min="11" max="11" width="40" customWidth="1"/>
  </cols>
  <sheetData>
    <row r="1" spans="1:11" ht="27.6" x14ac:dyDescent="0.3">
      <c r="A1" s="5" t="s">
        <v>272</v>
      </c>
      <c r="B1" s="5" t="s">
        <v>273</v>
      </c>
      <c r="C1" s="5" t="s">
        <v>25</v>
      </c>
      <c r="D1" s="5" t="s">
        <v>26</v>
      </c>
      <c r="E1" s="5" t="s">
        <v>27</v>
      </c>
      <c r="F1" s="5" t="s">
        <v>274</v>
      </c>
      <c r="G1" s="5" t="s">
        <v>275</v>
      </c>
      <c r="H1" s="5" t="s">
        <v>276</v>
      </c>
      <c r="I1" s="5" t="s">
        <v>277</v>
      </c>
      <c r="J1" s="5" t="s">
        <v>32</v>
      </c>
      <c r="K1" s="5" t="s">
        <v>278</v>
      </c>
    </row>
    <row r="2" spans="1:11" ht="27.6" x14ac:dyDescent="0.3">
      <c r="A2" s="11">
        <v>1</v>
      </c>
      <c r="B2" s="11" t="s">
        <v>279</v>
      </c>
      <c r="C2" s="11" t="s">
        <v>280</v>
      </c>
      <c r="D2" s="11"/>
      <c r="E2" s="11"/>
      <c r="F2" s="11">
        <v>4</v>
      </c>
      <c r="G2" s="11">
        <v>0</v>
      </c>
      <c r="H2" s="11">
        <v>9</v>
      </c>
      <c r="I2" s="11" t="s">
        <v>281</v>
      </c>
      <c r="J2" s="7"/>
      <c r="K2" s="7"/>
    </row>
    <row r="3" spans="1:11" ht="27.6" x14ac:dyDescent="0.3">
      <c r="A3" s="11">
        <v>2</v>
      </c>
      <c r="B3" s="11" t="s">
        <v>282</v>
      </c>
      <c r="C3" s="11" t="s">
        <v>242</v>
      </c>
      <c r="D3" s="11" t="s">
        <v>283</v>
      </c>
      <c r="E3" s="11"/>
      <c r="F3" s="11">
        <v>1</v>
      </c>
      <c r="G3" s="11">
        <v>0</v>
      </c>
      <c r="H3" s="11">
        <v>4</v>
      </c>
      <c r="I3" s="11" t="s">
        <v>284</v>
      </c>
      <c r="J3" s="7"/>
      <c r="K3" s="7"/>
    </row>
    <row r="4" spans="1:11" ht="27.6" x14ac:dyDescent="0.3">
      <c r="A4" s="11">
        <v>3</v>
      </c>
      <c r="B4" s="11" t="s">
        <v>282</v>
      </c>
      <c r="C4" s="11" t="s">
        <v>242</v>
      </c>
      <c r="D4" s="11" t="s">
        <v>285</v>
      </c>
      <c r="E4" s="11"/>
      <c r="F4" s="11">
        <v>1</v>
      </c>
      <c r="G4" s="11">
        <v>0</v>
      </c>
      <c r="H4" s="11">
        <v>1</v>
      </c>
      <c r="I4" s="11" t="s">
        <v>286</v>
      </c>
      <c r="J4" s="7"/>
      <c r="K4" s="7"/>
    </row>
    <row r="5" spans="1:11" ht="27.6" x14ac:dyDescent="0.3">
      <c r="A5" s="11">
        <v>4</v>
      </c>
      <c r="B5" s="11" t="s">
        <v>282</v>
      </c>
      <c r="C5" s="11" t="s">
        <v>242</v>
      </c>
      <c r="D5" s="11" t="s">
        <v>285</v>
      </c>
      <c r="E5" s="11" t="s">
        <v>248</v>
      </c>
      <c r="F5" s="11">
        <v>1</v>
      </c>
      <c r="G5" s="11">
        <v>0</v>
      </c>
      <c r="H5" s="11">
        <v>1</v>
      </c>
      <c r="I5" s="11" t="s">
        <v>286</v>
      </c>
      <c r="J5" s="7"/>
      <c r="K5" s="7"/>
    </row>
    <row r="6" spans="1:11" ht="27.6" x14ac:dyDescent="0.3">
      <c r="A6" s="11">
        <v>5</v>
      </c>
      <c r="B6" s="11" t="s">
        <v>282</v>
      </c>
      <c r="C6" s="11" t="s">
        <v>280</v>
      </c>
      <c r="D6" s="11" t="s">
        <v>287</v>
      </c>
      <c r="E6" s="11" t="s">
        <v>288</v>
      </c>
      <c r="F6" s="11">
        <v>1</v>
      </c>
      <c r="G6" s="11">
        <v>0</v>
      </c>
      <c r="H6" s="11">
        <v>1</v>
      </c>
      <c r="I6" s="11" t="s">
        <v>289</v>
      </c>
      <c r="J6" s="7"/>
      <c r="K6" s="7"/>
    </row>
    <row r="7" spans="1:11" ht="27.6" x14ac:dyDescent="0.3">
      <c r="A7" s="11">
        <v>6</v>
      </c>
      <c r="B7" s="11" t="s">
        <v>282</v>
      </c>
      <c r="C7" s="11" t="s">
        <v>290</v>
      </c>
      <c r="D7" s="11"/>
      <c r="E7" s="11"/>
      <c r="F7" s="11">
        <v>1</v>
      </c>
      <c r="G7" s="11">
        <v>0</v>
      </c>
      <c r="H7" s="11">
        <v>1</v>
      </c>
      <c r="I7" s="11" t="s">
        <v>291</v>
      </c>
      <c r="J7" s="7"/>
      <c r="K7" s="7"/>
    </row>
    <row r="8" spans="1:11" ht="27.6" x14ac:dyDescent="0.3">
      <c r="A8" s="11">
        <v>7</v>
      </c>
      <c r="B8" s="11" t="s">
        <v>282</v>
      </c>
      <c r="C8" s="11" t="s">
        <v>101</v>
      </c>
      <c r="D8" s="11" t="s">
        <v>109</v>
      </c>
      <c r="E8" s="11" t="s">
        <v>292</v>
      </c>
      <c r="F8" s="11">
        <v>1</v>
      </c>
      <c r="G8" s="11">
        <v>0</v>
      </c>
      <c r="H8" s="11">
        <v>1</v>
      </c>
      <c r="I8" s="11" t="s">
        <v>293</v>
      </c>
      <c r="J8" s="7"/>
      <c r="K8" s="7"/>
    </row>
    <row r="9" spans="1:11" ht="27.6" x14ac:dyDescent="0.3">
      <c r="A9" s="11">
        <v>8</v>
      </c>
      <c r="B9" s="11" t="s">
        <v>294</v>
      </c>
      <c r="C9" s="11" t="s">
        <v>242</v>
      </c>
      <c r="D9" s="11" t="s">
        <v>285</v>
      </c>
      <c r="E9" s="11" t="s">
        <v>246</v>
      </c>
      <c r="F9" s="11">
        <v>0</v>
      </c>
      <c r="G9" s="11">
        <v>1</v>
      </c>
      <c r="H9" s="11">
        <v>5</v>
      </c>
      <c r="I9" s="11" t="s">
        <v>286</v>
      </c>
      <c r="J9" s="7"/>
      <c r="K9" s="7"/>
    </row>
    <row r="10" spans="1:11" ht="27.6" x14ac:dyDescent="0.3">
      <c r="A10" s="11">
        <v>9</v>
      </c>
      <c r="B10" s="11" t="s">
        <v>295</v>
      </c>
      <c r="C10" s="11" t="s">
        <v>242</v>
      </c>
      <c r="D10" s="11" t="s">
        <v>285</v>
      </c>
      <c r="E10" s="11" t="s">
        <v>250</v>
      </c>
      <c r="F10" s="11">
        <v>0</v>
      </c>
      <c r="G10" s="11">
        <v>0</v>
      </c>
      <c r="H10" s="11">
        <v>1</v>
      </c>
      <c r="I10" s="11" t="s">
        <v>286</v>
      </c>
      <c r="J10" s="7"/>
      <c r="K10" s="7"/>
    </row>
    <row r="11" spans="1:11" x14ac:dyDescent="0.3">
      <c r="A11" s="11">
        <v>10</v>
      </c>
      <c r="B11" s="11" t="s">
        <v>295</v>
      </c>
      <c r="C11" s="11" t="s">
        <v>280</v>
      </c>
      <c r="D11" s="11" t="s">
        <v>287</v>
      </c>
      <c r="E11" s="11"/>
      <c r="F11" s="11">
        <v>0</v>
      </c>
      <c r="G11" s="11">
        <v>0</v>
      </c>
      <c r="H11" s="11">
        <v>1</v>
      </c>
      <c r="I11" s="11" t="s">
        <v>289</v>
      </c>
      <c r="J11" s="7"/>
      <c r="K11" s="7"/>
    </row>
    <row r="12" spans="1:11" ht="27.6" x14ac:dyDescent="0.3">
      <c r="A12" s="11">
        <v>11</v>
      </c>
      <c r="B12" s="11" t="s">
        <v>295</v>
      </c>
      <c r="C12" s="11" t="s">
        <v>290</v>
      </c>
      <c r="D12" s="11" t="s">
        <v>296</v>
      </c>
      <c r="E12" s="11"/>
      <c r="F12" s="11">
        <v>0</v>
      </c>
      <c r="G12" s="11">
        <v>0</v>
      </c>
      <c r="H12" s="11">
        <v>1</v>
      </c>
      <c r="I12" s="11" t="s">
        <v>291</v>
      </c>
      <c r="J12" s="7"/>
      <c r="K12" s="7"/>
    </row>
    <row r="13" spans="1:11" ht="27.6" x14ac:dyDescent="0.3">
      <c r="A13" s="11">
        <v>12</v>
      </c>
      <c r="B13" s="11" t="s">
        <v>295</v>
      </c>
      <c r="C13" s="11" t="s">
        <v>290</v>
      </c>
      <c r="D13" s="11" t="s">
        <v>296</v>
      </c>
      <c r="E13" s="11" t="s">
        <v>297</v>
      </c>
      <c r="F13" s="11">
        <v>0</v>
      </c>
      <c r="G13" s="11">
        <v>0</v>
      </c>
      <c r="H13" s="11">
        <v>1</v>
      </c>
      <c r="I13" s="11" t="s">
        <v>291</v>
      </c>
      <c r="J13" s="7"/>
      <c r="K13" s="7"/>
    </row>
    <row r="14" spans="1:11" ht="27.6" x14ac:dyDescent="0.3">
      <c r="A14" s="11">
        <v>13</v>
      </c>
      <c r="B14" s="11" t="s">
        <v>295</v>
      </c>
      <c r="C14" s="11" t="s">
        <v>290</v>
      </c>
      <c r="D14" s="11" t="s">
        <v>298</v>
      </c>
      <c r="E14" s="11"/>
      <c r="F14" s="11">
        <v>0</v>
      </c>
      <c r="G14" s="11">
        <v>0</v>
      </c>
      <c r="H14" s="11">
        <v>1</v>
      </c>
      <c r="I14" s="11" t="s">
        <v>291</v>
      </c>
      <c r="J14" s="7"/>
      <c r="K14" s="7"/>
    </row>
    <row r="15" spans="1:11" x14ac:dyDescent="0.3">
      <c r="A15" s="11">
        <v>14</v>
      </c>
      <c r="B15" s="11" t="s">
        <v>299</v>
      </c>
      <c r="C15" s="11" t="s">
        <v>214</v>
      </c>
      <c r="D15" s="11" t="s">
        <v>300</v>
      </c>
      <c r="E15" s="11" t="s">
        <v>49</v>
      </c>
      <c r="F15" s="11">
        <v>0</v>
      </c>
      <c r="G15" s="11">
        <v>1</v>
      </c>
      <c r="H15" s="11">
        <v>0</v>
      </c>
      <c r="I15" s="11" t="s">
        <v>301</v>
      </c>
      <c r="J15" s="7"/>
      <c r="K15" s="7"/>
    </row>
    <row r="16" spans="1:11" ht="27.6" x14ac:dyDescent="0.3">
      <c r="A16" s="11">
        <v>15</v>
      </c>
      <c r="B16" s="11" t="s">
        <v>299</v>
      </c>
      <c r="C16" s="11" t="s">
        <v>174</v>
      </c>
      <c r="D16" s="11" t="s">
        <v>123</v>
      </c>
      <c r="E16" s="11" t="s">
        <v>127</v>
      </c>
      <c r="F16" s="11">
        <v>0</v>
      </c>
      <c r="G16" s="11">
        <v>5</v>
      </c>
      <c r="H16" s="11">
        <v>0</v>
      </c>
      <c r="I16" s="11" t="s">
        <v>302</v>
      </c>
      <c r="J16" s="7"/>
      <c r="K16" s="7"/>
    </row>
    <row r="17" spans="1:11" ht="27.6" x14ac:dyDescent="0.3">
      <c r="A17" s="11">
        <v>16</v>
      </c>
      <c r="B17" s="11" t="s">
        <v>299</v>
      </c>
      <c r="C17" s="11" t="s">
        <v>43</v>
      </c>
      <c r="D17" s="11" t="s">
        <v>303</v>
      </c>
      <c r="E17" s="11" t="s">
        <v>257</v>
      </c>
      <c r="F17" s="11">
        <v>0</v>
      </c>
      <c r="G17" s="11">
        <v>1</v>
      </c>
      <c r="H17" s="11">
        <v>0</v>
      </c>
      <c r="I17" s="11" t="s">
        <v>304</v>
      </c>
      <c r="J17" s="7"/>
      <c r="K17" s="7"/>
    </row>
    <row r="18" spans="1:11" ht="27.6" x14ac:dyDescent="0.3">
      <c r="A18" s="11">
        <v>17</v>
      </c>
      <c r="B18" s="11" t="s">
        <v>299</v>
      </c>
      <c r="C18" s="11" t="s">
        <v>141</v>
      </c>
      <c r="D18" s="11" t="s">
        <v>145</v>
      </c>
      <c r="E18" s="11" t="s">
        <v>305</v>
      </c>
      <c r="F18" s="11">
        <v>0</v>
      </c>
      <c r="G18" s="11">
        <v>1</v>
      </c>
      <c r="H18" s="11">
        <v>0</v>
      </c>
      <c r="I18" s="11" t="s">
        <v>306</v>
      </c>
      <c r="J18" s="7"/>
      <c r="K18" s="7"/>
    </row>
  </sheetData>
  <dataValidations count="1">
    <dataValidation type="list" allowBlank="1" sqref="J2:J18">
      <formula1>"موافق على المقترح,غير موافق (انظر الملاحظات)"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26" customWidth="1"/>
    <col min="4" max="5" width="11" customWidth="1"/>
    <col min="6" max="6" width="26" customWidth="1"/>
    <col min="7" max="7" width="50" customWidth="1"/>
  </cols>
  <sheetData>
    <row r="1" spans="1:7" x14ac:dyDescent="0.3">
      <c r="A1" s="5" t="s">
        <v>307</v>
      </c>
      <c r="B1" s="5" t="s">
        <v>26</v>
      </c>
      <c r="C1" s="5" t="s">
        <v>308</v>
      </c>
      <c r="D1" s="5" t="s">
        <v>274</v>
      </c>
      <c r="E1" s="5" t="s">
        <v>275</v>
      </c>
      <c r="F1" s="5" t="s">
        <v>309</v>
      </c>
      <c r="G1" s="5" t="s">
        <v>310</v>
      </c>
    </row>
    <row r="2" spans="1:7" x14ac:dyDescent="0.3">
      <c r="A2" s="11" t="s">
        <v>311</v>
      </c>
      <c r="B2" s="11" t="s">
        <v>312</v>
      </c>
      <c r="C2" s="11" t="s">
        <v>198</v>
      </c>
      <c r="D2" s="11">
        <v>1</v>
      </c>
      <c r="E2" s="11">
        <v>0</v>
      </c>
      <c r="F2" s="11" t="s">
        <v>313</v>
      </c>
      <c r="G2" s="11" t="s">
        <v>314</v>
      </c>
    </row>
    <row r="3" spans="1:7" ht="27.6" x14ac:dyDescent="0.3">
      <c r="A3" s="11" t="s">
        <v>315</v>
      </c>
      <c r="B3" s="11" t="s">
        <v>240</v>
      </c>
      <c r="C3" s="11" t="s">
        <v>316</v>
      </c>
      <c r="D3" s="11">
        <v>18</v>
      </c>
      <c r="E3" s="11">
        <v>1</v>
      </c>
      <c r="F3" s="11" t="s">
        <v>317</v>
      </c>
      <c r="G3" s="11" t="s">
        <v>318</v>
      </c>
    </row>
    <row r="4" spans="1:7" ht="27.6" x14ac:dyDescent="0.3">
      <c r="A4" s="11" t="s">
        <v>315</v>
      </c>
      <c r="B4" s="11" t="s">
        <v>240</v>
      </c>
      <c r="C4" s="11" t="s">
        <v>319</v>
      </c>
      <c r="D4" s="11">
        <v>6</v>
      </c>
      <c r="E4" s="11">
        <v>1</v>
      </c>
      <c r="F4" s="11" t="s">
        <v>317</v>
      </c>
      <c r="G4" s="11" t="s">
        <v>318</v>
      </c>
    </row>
    <row r="5" spans="1:7" ht="27.6" x14ac:dyDescent="0.3">
      <c r="A5" s="11" t="s">
        <v>315</v>
      </c>
      <c r="B5" s="11" t="s">
        <v>240</v>
      </c>
      <c r="C5" s="11" t="s">
        <v>320</v>
      </c>
      <c r="D5" s="11">
        <v>5</v>
      </c>
      <c r="E5" s="11">
        <v>0</v>
      </c>
      <c r="F5" s="11" t="s">
        <v>317</v>
      </c>
      <c r="G5" s="11" t="s">
        <v>318</v>
      </c>
    </row>
    <row r="6" spans="1:7" ht="27.6" x14ac:dyDescent="0.3">
      <c r="A6" s="11" t="s">
        <v>315</v>
      </c>
      <c r="B6" s="11" t="s">
        <v>240</v>
      </c>
      <c r="C6" s="11" t="s">
        <v>321</v>
      </c>
      <c r="D6" s="11">
        <v>4</v>
      </c>
      <c r="E6" s="11">
        <v>0</v>
      </c>
      <c r="F6" s="11" t="s">
        <v>317</v>
      </c>
      <c r="G6" s="11" t="s">
        <v>318</v>
      </c>
    </row>
    <row r="7" spans="1:7" ht="27.6" x14ac:dyDescent="0.3">
      <c r="A7" s="11" t="s">
        <v>315</v>
      </c>
      <c r="B7" s="11" t="s">
        <v>240</v>
      </c>
      <c r="C7" s="11" t="s">
        <v>322</v>
      </c>
      <c r="D7" s="11">
        <v>3</v>
      </c>
      <c r="E7" s="11">
        <v>3</v>
      </c>
      <c r="F7" s="11" t="s">
        <v>317</v>
      </c>
      <c r="G7" s="11" t="s">
        <v>318</v>
      </c>
    </row>
    <row r="8" spans="1:7" ht="27.6" x14ac:dyDescent="0.3">
      <c r="A8" s="11" t="s">
        <v>315</v>
      </c>
      <c r="B8" s="11" t="s">
        <v>240</v>
      </c>
      <c r="C8" s="11" t="s">
        <v>323</v>
      </c>
      <c r="D8" s="11">
        <v>3</v>
      </c>
      <c r="E8" s="11">
        <v>0</v>
      </c>
      <c r="F8" s="11" t="s">
        <v>317</v>
      </c>
      <c r="G8" s="11" t="s">
        <v>318</v>
      </c>
    </row>
    <row r="9" spans="1:7" ht="27.6" x14ac:dyDescent="0.3">
      <c r="A9" s="11" t="s">
        <v>315</v>
      </c>
      <c r="B9" s="11" t="s">
        <v>240</v>
      </c>
      <c r="C9" s="11" t="s">
        <v>324</v>
      </c>
      <c r="D9" s="11">
        <v>3</v>
      </c>
      <c r="E9" s="11">
        <v>1</v>
      </c>
      <c r="F9" s="11" t="s">
        <v>317</v>
      </c>
      <c r="G9" s="11" t="s">
        <v>318</v>
      </c>
    </row>
    <row r="10" spans="1:7" ht="27.6" x14ac:dyDescent="0.3">
      <c r="A10" s="11" t="s">
        <v>315</v>
      </c>
      <c r="B10" s="11" t="s">
        <v>240</v>
      </c>
      <c r="C10" s="11" t="s">
        <v>325</v>
      </c>
      <c r="D10" s="11">
        <v>2</v>
      </c>
      <c r="E10" s="11">
        <v>0</v>
      </c>
      <c r="F10" s="11" t="s">
        <v>317</v>
      </c>
      <c r="G10" s="11" t="s">
        <v>318</v>
      </c>
    </row>
    <row r="11" spans="1:7" ht="27.6" x14ac:dyDescent="0.3">
      <c r="A11" s="11" t="s">
        <v>315</v>
      </c>
      <c r="B11" s="11" t="s">
        <v>240</v>
      </c>
      <c r="C11" s="11" t="s">
        <v>326</v>
      </c>
      <c r="D11" s="11">
        <v>2</v>
      </c>
      <c r="E11" s="11">
        <v>1</v>
      </c>
      <c r="F11" s="11" t="s">
        <v>317</v>
      </c>
      <c r="G11" s="11" t="s">
        <v>318</v>
      </c>
    </row>
    <row r="12" spans="1:7" ht="27.6" x14ac:dyDescent="0.3">
      <c r="A12" s="11" t="s">
        <v>315</v>
      </c>
      <c r="B12" s="11" t="s">
        <v>240</v>
      </c>
      <c r="C12" s="11" t="s">
        <v>327</v>
      </c>
      <c r="D12" s="11">
        <v>2</v>
      </c>
      <c r="E12" s="11">
        <v>0</v>
      </c>
      <c r="F12" s="11" t="s">
        <v>317</v>
      </c>
      <c r="G12" s="11" t="s">
        <v>318</v>
      </c>
    </row>
    <row r="13" spans="1:7" ht="27.6" x14ac:dyDescent="0.3">
      <c r="A13" s="11" t="s">
        <v>315</v>
      </c>
      <c r="B13" s="11" t="s">
        <v>240</v>
      </c>
      <c r="C13" s="11" t="s">
        <v>328</v>
      </c>
      <c r="D13" s="11">
        <v>1</v>
      </c>
      <c r="E13" s="11">
        <v>0</v>
      </c>
      <c r="F13" s="11" t="s">
        <v>317</v>
      </c>
      <c r="G13" s="11" t="s">
        <v>318</v>
      </c>
    </row>
    <row r="14" spans="1:7" ht="27.6" x14ac:dyDescent="0.3">
      <c r="A14" s="11" t="s">
        <v>315</v>
      </c>
      <c r="B14" s="11" t="s">
        <v>240</v>
      </c>
      <c r="C14" s="11" t="s">
        <v>329</v>
      </c>
      <c r="D14" s="11">
        <v>1</v>
      </c>
      <c r="E14" s="11">
        <v>0</v>
      </c>
      <c r="F14" s="11" t="s">
        <v>317</v>
      </c>
      <c r="G14" s="11" t="s">
        <v>318</v>
      </c>
    </row>
    <row r="15" spans="1:7" ht="27.6" x14ac:dyDescent="0.3">
      <c r="A15" s="11" t="s">
        <v>315</v>
      </c>
      <c r="B15" s="11" t="s">
        <v>240</v>
      </c>
      <c r="C15" s="11" t="s">
        <v>330</v>
      </c>
      <c r="D15" s="11">
        <v>1</v>
      </c>
      <c r="E15" s="11">
        <v>2</v>
      </c>
      <c r="F15" s="11" t="s">
        <v>317</v>
      </c>
      <c r="G15" s="11" t="s">
        <v>318</v>
      </c>
    </row>
    <row r="16" spans="1:7" x14ac:dyDescent="0.3">
      <c r="A16" s="11" t="s">
        <v>331</v>
      </c>
      <c r="B16" s="11" t="s">
        <v>178</v>
      </c>
      <c r="C16" s="11" t="s">
        <v>332</v>
      </c>
      <c r="D16" s="11">
        <v>12</v>
      </c>
      <c r="E16" s="11">
        <v>15</v>
      </c>
      <c r="F16" s="11" t="s">
        <v>313</v>
      </c>
      <c r="G16" s="11" t="s">
        <v>333</v>
      </c>
    </row>
    <row r="17" spans="1:7" x14ac:dyDescent="0.3">
      <c r="A17" s="11" t="s">
        <v>331</v>
      </c>
      <c r="B17" s="11" t="s">
        <v>178</v>
      </c>
      <c r="C17" s="11" t="s">
        <v>334</v>
      </c>
      <c r="D17" s="11">
        <v>4</v>
      </c>
      <c r="E17" s="11">
        <v>6</v>
      </c>
      <c r="F17" s="11" t="s">
        <v>313</v>
      </c>
      <c r="G17" s="11" t="s">
        <v>333</v>
      </c>
    </row>
    <row r="18" spans="1:7" x14ac:dyDescent="0.3">
      <c r="A18" s="11" t="s">
        <v>331</v>
      </c>
      <c r="B18" s="11" t="s">
        <v>178</v>
      </c>
      <c r="C18" s="11" t="s">
        <v>335</v>
      </c>
      <c r="D18" s="11">
        <v>1</v>
      </c>
      <c r="E18" s="11">
        <v>3</v>
      </c>
      <c r="F18" s="11" t="s">
        <v>313</v>
      </c>
      <c r="G18" s="11" t="s">
        <v>333</v>
      </c>
    </row>
    <row r="19" spans="1:7" x14ac:dyDescent="0.3">
      <c r="A19" s="11" t="s">
        <v>331</v>
      </c>
      <c r="B19" s="11" t="s">
        <v>186</v>
      </c>
      <c r="C19" s="11" t="s">
        <v>336</v>
      </c>
      <c r="D19" s="11">
        <v>1</v>
      </c>
      <c r="E19" s="11">
        <v>1</v>
      </c>
      <c r="F19" s="11" t="s">
        <v>313</v>
      </c>
      <c r="G19" s="11" t="s">
        <v>333</v>
      </c>
    </row>
    <row r="20" spans="1:7" x14ac:dyDescent="0.3">
      <c r="A20" s="12" t="s">
        <v>337</v>
      </c>
      <c r="B20" s="12"/>
      <c r="C20" s="12"/>
      <c r="D20" s="12">
        <f>SUM(D2:D19)</f>
        <v>70</v>
      </c>
      <c r="E20" s="12">
        <f>SUM(E2:E19)</f>
        <v>34</v>
      </c>
      <c r="F20" s="12"/>
      <c r="G20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40" customWidth="1"/>
    <col min="3" max="3" width="60" customWidth="1"/>
    <col min="4" max="4" width="50" customWidth="1"/>
    <col min="5" max="5" width="40" customWidth="1"/>
  </cols>
  <sheetData>
    <row r="1" spans="1:5" x14ac:dyDescent="0.3">
      <c r="A1" s="5" t="s">
        <v>272</v>
      </c>
      <c r="B1" s="5" t="s">
        <v>338</v>
      </c>
      <c r="C1" s="5" t="s">
        <v>339</v>
      </c>
      <c r="D1" s="5" t="s">
        <v>277</v>
      </c>
      <c r="E1" s="5" t="s">
        <v>340</v>
      </c>
    </row>
    <row r="2" spans="1:5" ht="41.4" x14ac:dyDescent="0.3">
      <c r="A2" s="11">
        <v>1</v>
      </c>
      <c r="B2" s="11" t="s">
        <v>341</v>
      </c>
      <c r="C2" s="11" t="s">
        <v>342</v>
      </c>
      <c r="D2" s="11" t="s">
        <v>343</v>
      </c>
      <c r="E2" s="7"/>
    </row>
    <row r="3" spans="1:5" ht="27.6" x14ac:dyDescent="0.3">
      <c r="A3" s="11">
        <v>2</v>
      </c>
      <c r="B3" s="11" t="s">
        <v>344</v>
      </c>
      <c r="C3" s="11" t="s">
        <v>345</v>
      </c>
      <c r="D3" s="11" t="s">
        <v>346</v>
      </c>
      <c r="E3" s="7"/>
    </row>
    <row r="4" spans="1:5" ht="27.6" x14ac:dyDescent="0.3">
      <c r="A4" s="11">
        <v>3</v>
      </c>
      <c r="B4" s="11" t="s">
        <v>347</v>
      </c>
      <c r="C4" s="11" t="s">
        <v>348</v>
      </c>
      <c r="D4" s="11" t="s">
        <v>349</v>
      </c>
      <c r="E4" s="7"/>
    </row>
    <row r="5" spans="1:5" ht="27.6" x14ac:dyDescent="0.3">
      <c r="A5" s="11">
        <v>4</v>
      </c>
      <c r="B5" s="11" t="s">
        <v>350</v>
      </c>
      <c r="C5" s="11" t="s">
        <v>351</v>
      </c>
      <c r="D5" s="11" t="s">
        <v>352</v>
      </c>
      <c r="E5" s="7"/>
    </row>
    <row r="6" spans="1:5" ht="41.4" x14ac:dyDescent="0.3">
      <c r="A6" s="11">
        <v>5</v>
      </c>
      <c r="B6" s="11" t="s">
        <v>353</v>
      </c>
      <c r="C6" s="11" t="s">
        <v>354</v>
      </c>
      <c r="D6" s="11" t="s">
        <v>355</v>
      </c>
      <c r="E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اقرأ أولاً</vt:lpstr>
      <vt:lpstr>الهيكل في النظام</vt:lpstr>
      <vt:lpstr>وحدات غير موجودة</vt:lpstr>
      <vt:lpstr>ما لا يدخل الهيكل</vt:lpstr>
      <vt:lpstr>أسئلة للموارد البشرية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M.Hawa</cp:lastModifiedBy>
  <dcterms:created xsi:type="dcterms:W3CDTF">2026-10-10T12:16:57Z</dcterms:created>
  <dcterms:modified xsi:type="dcterms:W3CDTF">2026-10-10T12:17:12Z</dcterms:modified>
</cp:coreProperties>
</file>